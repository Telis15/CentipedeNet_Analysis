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ostatemailokstate-my.sharepoint.com/personal/tanner_scholten_okstate_edu/Documents/Thesis Project/Data/R/output/tables/"/>
    </mc:Choice>
  </mc:AlternateContent>
  <xr:revisionPtr revIDLastSave="28" documentId="11_B70A9E09FFC9B723F6CC1CB4DBEE4E05C67F1CA0" xr6:coauthVersionLast="47" xr6:coauthVersionMax="47" xr10:uidLastSave="{4EAF925D-81C0-4D4D-8DDE-F8C6C819ED03}"/>
  <bookViews>
    <workbookView xWindow="-83" yWindow="0" windowWidth="10965" windowHeight="12233" firstSheet="3" activeTab="3" xr2:uid="{00000000-000D-0000-FFFF-FFFF00000000}"/>
  </bookViews>
  <sheets>
    <sheet name="Species List" sheetId="1" r:id="rId1"/>
    <sheet name="Site Summary" sheetId="2" r:id="rId2"/>
    <sheet name="Study Summary" sheetId="3" r:id="rId3"/>
    <sheet name="iNEXT Coverage Projection" sheetId="4" r:id="rId4"/>
    <sheet name="iNEXT Coverage" sheetId="5" r:id="rId5"/>
    <sheet name="iNEXT Estimates" sheetId="6" r:id="rId6"/>
    <sheet name="Gear Study Summary" sheetId="7" r:id="rId7"/>
    <sheet name="Site Catch" sheetId="8" r:id="rId8"/>
    <sheet name="Site CPUE" sheetId="9" r:id="rId9"/>
    <sheet name="Gear Species Abundance" sheetId="10" r:id="rId10"/>
    <sheet name="Gear Combo Richness" sheetId="11" r:id="rId11"/>
    <sheet name="Gear Exclusive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10" i="4"/>
  <c r="I11" i="4"/>
  <c r="I12" i="4"/>
  <c r="I13" i="4"/>
  <c r="I14" i="4"/>
  <c r="I15" i="4"/>
  <c r="I16" i="4"/>
  <c r="I2" i="4"/>
</calcChain>
</file>

<file path=xl/sharedStrings.xml><?xml version="1.0" encoding="utf-8"?>
<sst xmlns="http://schemas.openxmlformats.org/spreadsheetml/2006/main" count="531" uniqueCount="269">
  <si>
    <t>Species</t>
  </si>
  <si>
    <t>Common Name</t>
  </si>
  <si>
    <t>Cast Net</t>
  </si>
  <si>
    <t>Centipede Net</t>
  </si>
  <si>
    <t>Seine</t>
  </si>
  <si>
    <t>Achirus mazatlanus</t>
  </si>
  <si>
    <t>Mazatlan sole</t>
  </si>
  <si>
    <t>Alectis ciliaris</t>
  </si>
  <si>
    <t>African pompano</t>
  </si>
  <si>
    <t>Anchoa chamensis</t>
  </si>
  <si>
    <t>Chame Point anchovy</t>
  </si>
  <si>
    <t>Anchoa lucida</t>
  </si>
  <si>
    <t>Bright anchovy</t>
  </si>
  <si>
    <t>Anchoa nasus</t>
  </si>
  <si>
    <t>Longnose anchovy</t>
  </si>
  <si>
    <t>Anchoa panamensis</t>
  </si>
  <si>
    <t>Panama anchovy</t>
  </si>
  <si>
    <t>Anchoa starksi</t>
  </si>
  <si>
    <t>Starks's anchovy</t>
  </si>
  <si>
    <t>Ariopsis guatemalensis</t>
  </si>
  <si>
    <t>Blue sea catfish</t>
  </si>
  <si>
    <t>Ariopsis seemanni</t>
  </si>
  <si>
    <t>Tete sea catfish</t>
  </si>
  <si>
    <t>Astyanax aeneus</t>
  </si>
  <si>
    <t>Banded tetra</t>
  </si>
  <si>
    <t>Atherinella argentea</t>
  </si>
  <si>
    <t>Moon silverside</t>
  </si>
  <si>
    <t>Bagre pinnimaculatus</t>
  </si>
  <si>
    <t>Red sea catfish</t>
  </si>
  <si>
    <t>Bairdiella armata</t>
  </si>
  <si>
    <t>Armed croaker</t>
  </si>
  <si>
    <t>Bairdiella ensifera</t>
  </si>
  <si>
    <t>Swordspine croaker</t>
  </si>
  <si>
    <t>Bathygobius andrei</t>
  </si>
  <si>
    <t>Estuarine frillfin</t>
  </si>
  <si>
    <t>Bathygobius ramosus</t>
  </si>
  <si>
    <t>Panamic frillfin</t>
  </si>
  <si>
    <t>Batrachoides waltersi</t>
  </si>
  <si>
    <t>Walter's toadfish</t>
  </si>
  <si>
    <t>Bollmannia umbrosa</t>
  </si>
  <si>
    <t>Dusky goby</t>
  </si>
  <si>
    <t>Caranx caballus</t>
  </si>
  <si>
    <t>Green jack</t>
  </si>
  <si>
    <t>Caranx caninus</t>
  </si>
  <si>
    <t>Pacific crevalle jack</t>
  </si>
  <si>
    <t>Cathorops steindachneri</t>
  </si>
  <si>
    <t>Steindachner's sea catfish</t>
  </si>
  <si>
    <t>Centropomus medius</t>
  </si>
  <si>
    <t>Blackfin snook</t>
  </si>
  <si>
    <t>Centropomus robalito</t>
  </si>
  <si>
    <t>Yellowfin snook</t>
  </si>
  <si>
    <t>Centropomus unionensis</t>
  </si>
  <si>
    <t>Union snook</t>
  </si>
  <si>
    <t>Chaetodipterus zonatus</t>
  </si>
  <si>
    <t>Pacific spadefish</t>
  </si>
  <si>
    <t>Citharichthys gilberti</t>
  </si>
  <si>
    <t>Bigmouth sanddab</t>
  </si>
  <si>
    <t>Ctenogobius sagittula</t>
  </si>
  <si>
    <t>Longtail goby</t>
  </si>
  <si>
    <t>Cyclopsetta panamensis</t>
  </si>
  <si>
    <t>God's flounder</t>
  </si>
  <si>
    <t>Cynoponticus coniceps</t>
  </si>
  <si>
    <t>Red pike conger</t>
  </si>
  <si>
    <t>Cynoscion albus</t>
  </si>
  <si>
    <t>Whitefin weakfish</t>
  </si>
  <si>
    <t>Cynoscion phoxocephalus</t>
  </si>
  <si>
    <t>Cachema weakfish</t>
  </si>
  <si>
    <t>Cynoscion squamipinnis</t>
  </si>
  <si>
    <t>Weakfish</t>
  </si>
  <si>
    <t>Cynoscion stolzmanni</t>
  </si>
  <si>
    <t>Stolzmann's weakfish</t>
  </si>
  <si>
    <t>Diapterus brevirostris</t>
  </si>
  <si>
    <t>Peruvian mojarra</t>
  </si>
  <si>
    <t>Dormitator latifrons</t>
  </si>
  <si>
    <t>Pacific fat sleeper</t>
  </si>
  <si>
    <t>Eucinostomus currani</t>
  </si>
  <si>
    <t>Pacific flagfin mojarra</t>
  </si>
  <si>
    <t>Eugerres brevimanus</t>
  </si>
  <si>
    <t>Short fin mojarra</t>
  </si>
  <si>
    <t>Genyatremus dovii</t>
  </si>
  <si>
    <t>Spotted head sargo</t>
  </si>
  <si>
    <t>Gerres simillimus</t>
  </si>
  <si>
    <t>Yellowfin mojarra</t>
  </si>
  <si>
    <t>Gobioides peruanus</t>
  </si>
  <si>
    <t>Peruvian eelgoby</t>
  </si>
  <si>
    <t>Gobiomorus maculatus</t>
  </si>
  <si>
    <t>Pacific sleeper</t>
  </si>
  <si>
    <t>Guentheridia formosa</t>
  </si>
  <si>
    <t>Spotted puffer</t>
  </si>
  <si>
    <t>Haemulopsis axillaris</t>
  </si>
  <si>
    <t>Yellowstripe grunt</t>
  </si>
  <si>
    <t>Haemulopsis elongatus</t>
  </si>
  <si>
    <t>Elongate grunt</t>
  </si>
  <si>
    <t>Haemulopsis leuciscus</t>
  </si>
  <si>
    <t>Raucous grunt</t>
  </si>
  <si>
    <t>Haemulopsis nitida</t>
  </si>
  <si>
    <t>Shining grunt</t>
  </si>
  <si>
    <t>Hemicaranx leucurus</t>
  </si>
  <si>
    <t>Yellowfin jack</t>
  </si>
  <si>
    <t>Hyporhamphus snyderi</t>
  </si>
  <si>
    <t>Skipper halfbeak</t>
  </si>
  <si>
    <t>Lile stolifera</t>
  </si>
  <si>
    <t>Striped herring</t>
  </si>
  <si>
    <t>Lobotes pacifica</t>
  </si>
  <si>
    <t>Pacific tripletail</t>
  </si>
  <si>
    <t>Lutjanus argentiventris</t>
  </si>
  <si>
    <t>Yellow snapper</t>
  </si>
  <si>
    <t>Lutjanus colorado</t>
  </si>
  <si>
    <t>Colorado snapper</t>
  </si>
  <si>
    <t>Mugil hospes</t>
  </si>
  <si>
    <t>Hospe mullet</t>
  </si>
  <si>
    <t>Mugil setosus</t>
  </si>
  <si>
    <t>Liseta mullet</t>
  </si>
  <si>
    <t>Myrichthys tigrinus</t>
  </si>
  <si>
    <t>Spotted snake-eel</t>
  </si>
  <si>
    <t>Myrophis vafer</t>
  </si>
  <si>
    <t>Pacific worm eel</t>
  </si>
  <si>
    <t>Oligoplites altus</t>
  </si>
  <si>
    <t>Longjaw leatherjacket</t>
  </si>
  <si>
    <t>Oligoplites saurus</t>
  </si>
  <si>
    <t>Leatherjacket</t>
  </si>
  <si>
    <t>Ophichthus remiger</t>
  </si>
  <si>
    <t>Punctuated snake-eel</t>
  </si>
  <si>
    <t>Ophichthus triserialis</t>
  </si>
  <si>
    <t>Pacific snake eel</t>
  </si>
  <si>
    <t>Ophioscion imiceps</t>
  </si>
  <si>
    <t>Blinkard croaker</t>
  </si>
  <si>
    <t>Ophioscion scierus</t>
  </si>
  <si>
    <t>Point-Tuza croaker</t>
  </si>
  <si>
    <t>Ophioscion strabo</t>
  </si>
  <si>
    <t>Squint-eyed croaker</t>
  </si>
  <si>
    <t>Ophioscion typicus</t>
  </si>
  <si>
    <t>Point-nosed croaker</t>
  </si>
  <si>
    <t>Ophioscion vermicularis</t>
  </si>
  <si>
    <t>Vermiculated croaker</t>
  </si>
  <si>
    <t>Oxyzygonectes dovii</t>
  </si>
  <si>
    <t>White-eye</t>
  </si>
  <si>
    <t>Parachromis managuensis</t>
  </si>
  <si>
    <t>Jaguar guapote</t>
  </si>
  <si>
    <t>Paralonchurus dumerilii</t>
  </si>
  <si>
    <t>Suco croaker</t>
  </si>
  <si>
    <t>Paraselene orstedii</t>
  </si>
  <si>
    <t>Mexican moonfish</t>
  </si>
  <si>
    <t>Poeciliopsis elongata</t>
  </si>
  <si>
    <t>Elongate toothcarp</t>
  </si>
  <si>
    <t>Poeciliopsis turrubarensis</t>
  </si>
  <si>
    <t>Turrubarés toothcarp</t>
  </si>
  <si>
    <t>Pomadasys empherus</t>
  </si>
  <si>
    <t>Bigspine grunt</t>
  </si>
  <si>
    <t>Pterygoplichthys pardalis</t>
  </si>
  <si>
    <t>Amazon sailfin catfish</t>
  </si>
  <si>
    <t>Rhencus macracanthus</t>
  </si>
  <si>
    <t>Longspine grunt</t>
  </si>
  <si>
    <t>Rhonciscus bayanus</t>
  </si>
  <si>
    <t>Purplemouth grunt</t>
  </si>
  <si>
    <t>Rhonciscus branickii</t>
  </si>
  <si>
    <t>Sand grunt</t>
  </si>
  <si>
    <t>Rypticus bicolor</t>
  </si>
  <si>
    <t>Mottled soapfish</t>
  </si>
  <si>
    <t>Rypticus nigripinnis</t>
  </si>
  <si>
    <t>Blackfin soapfish</t>
  </si>
  <si>
    <t>Sciades dowii</t>
  </si>
  <si>
    <t>Flapnose sea catfish</t>
  </si>
  <si>
    <t>Sphoeroides annulatus</t>
  </si>
  <si>
    <t>Bullseye puffer</t>
  </si>
  <si>
    <t>Sphoeroides lobatus</t>
  </si>
  <si>
    <t>Longnose puffer</t>
  </si>
  <si>
    <t>Sphoeroides rosenblatti</t>
  </si>
  <si>
    <t>Oval puffer</t>
  </si>
  <si>
    <t>Stellifer mancorensis</t>
  </si>
  <si>
    <t>Smooth stardrum</t>
  </si>
  <si>
    <t>Stellifer oscitans</t>
  </si>
  <si>
    <t>Yawning stardrum</t>
  </si>
  <si>
    <t>Strongylura exilis</t>
  </si>
  <si>
    <t>Californian needlefish</t>
  </si>
  <si>
    <t>Syacium ovale</t>
  </si>
  <si>
    <t>Oval flounder</t>
  </si>
  <si>
    <t>Urotrygon munda</t>
  </si>
  <si>
    <t>Munda round ray</t>
  </si>
  <si>
    <t>Site</t>
  </si>
  <si>
    <t>DominantSubstrate</t>
  </si>
  <si>
    <t>DaylightHrs</t>
  </si>
  <si>
    <t>DaylightPercent</t>
  </si>
  <si>
    <t>SecchiDepth_cm</t>
  </si>
  <si>
    <t>pH</t>
  </si>
  <si>
    <t>DO_PPM</t>
  </si>
  <si>
    <t>PSU</t>
  </si>
  <si>
    <t>Temperature_C</t>
  </si>
  <si>
    <t>MudDominant</t>
  </si>
  <si>
    <t>Steepness</t>
  </si>
  <si>
    <t>OcclusionGroupAvg</t>
  </si>
  <si>
    <t>OcclusionSTDev</t>
  </si>
  <si>
    <t>Bebedero</t>
  </si>
  <si>
    <t>Mud</t>
  </si>
  <si>
    <t>Chira</t>
  </si>
  <si>
    <t>Shells</t>
  </si>
  <si>
    <t>Colorado</t>
  </si>
  <si>
    <t>Lepanto</t>
  </si>
  <si>
    <t>Punta Morales</t>
  </si>
  <si>
    <t>Tivives</t>
  </si>
  <si>
    <t>Sand</t>
  </si>
  <si>
    <t>Total Catch (n)</t>
  </si>
  <si>
    <t>Individual Measurements</t>
  </si>
  <si>
    <t>Species Richness</t>
  </si>
  <si>
    <t>Shannon Diversity</t>
  </si>
  <si>
    <t>Simpson Diversity</t>
  </si>
  <si>
    <t>Total Biomass (kg)</t>
  </si>
  <si>
    <t>Minimum Weight (g)</t>
  </si>
  <si>
    <t>Maximum Weight (g)</t>
  </si>
  <si>
    <t>Minimum Standard Length (mm)</t>
  </si>
  <si>
    <t>Maximum Standard Length (mm)</t>
  </si>
  <si>
    <t>Assemblage</t>
  </si>
  <si>
    <t>Samples (n)</t>
  </si>
  <si>
    <t>Method</t>
  </si>
  <si>
    <t>SC</t>
  </si>
  <si>
    <t>qD</t>
  </si>
  <si>
    <t>qD.LCL</t>
  </si>
  <si>
    <t>qD.UCL</t>
  </si>
  <si>
    <t>Rarefaction</t>
  </si>
  <si>
    <t>75 % Coverage</t>
  </si>
  <si>
    <t>Cast Net &amp; Centipede Net</t>
  </si>
  <si>
    <t>Cast Net &amp; Seine</t>
  </si>
  <si>
    <t>Centipede Net &amp; Seine</t>
  </si>
  <si>
    <t>All Gears</t>
  </si>
  <si>
    <t/>
  </si>
  <si>
    <t>Extrapolation</t>
  </si>
  <si>
    <t>95 % Coverage</t>
  </si>
  <si>
    <t>Number of Samples</t>
  </si>
  <si>
    <t>Observed Richness</t>
  </si>
  <si>
    <t>Estimated Sample Coverage</t>
  </si>
  <si>
    <t>Metric</t>
  </si>
  <si>
    <t>Observed</t>
  </si>
  <si>
    <t>Estimated</t>
  </si>
  <si>
    <t>s.e.</t>
  </si>
  <si>
    <t>LCL</t>
  </si>
  <si>
    <t>UCL</t>
  </si>
  <si>
    <t>Species richness</t>
  </si>
  <si>
    <t>Shannon diversity</t>
  </si>
  <si>
    <t>Simpson diversity</t>
  </si>
  <si>
    <t>Gear</t>
  </si>
  <si>
    <t>Total Samples</t>
  </si>
  <si>
    <t>Mean Catch (n)</t>
  </si>
  <si>
    <t>Mean Richness</t>
  </si>
  <si>
    <t>Mean Shannon Diversity</t>
  </si>
  <si>
    <t>Mean Simpson Diversity</t>
  </si>
  <si>
    <t>Mean Biomass (g)</t>
  </si>
  <si>
    <t>Mean CPUE</t>
  </si>
  <si>
    <t>Mean Effort</t>
  </si>
  <si>
    <t>Effort Unit</t>
  </si>
  <si>
    <t>Throws</t>
  </si>
  <si>
    <t>Net Group Hours</t>
  </si>
  <si>
    <t>Hauls</t>
  </si>
  <si>
    <t>Total Catch</t>
  </si>
  <si>
    <t>All Sites</t>
  </si>
  <si>
    <t>Species (All Gears)</t>
  </si>
  <si>
    <t>Species (Cast Net)</t>
  </si>
  <si>
    <t>Species (Centipede Net)</t>
  </si>
  <si>
    <t>Species (Seine)</t>
  </si>
  <si>
    <t>GearCombo</t>
  </si>
  <si>
    <t>Centipede Only</t>
  </si>
  <si>
    <t>Cast Only</t>
  </si>
  <si>
    <t>Seine Only</t>
  </si>
  <si>
    <t>Centipede &amp; Seine</t>
  </si>
  <si>
    <t>Cast &amp; Seine</t>
  </si>
  <si>
    <t>Cast &amp; Centipede</t>
  </si>
  <si>
    <t>(Cast)</t>
  </si>
  <si>
    <t xml:space="preserve">Centipede Net </t>
  </si>
  <si>
    <t>(Cent)</t>
  </si>
  <si>
    <t>(Seine)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</si>
</sst>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2" x14ac:knownFonts="1">
    <font>
      <sz val="11"/>
      <color theme="1"/>
      <name val="Aptos Narrow"/>
      <family val="2"/>
      <scheme val="minor"/>
    </font>
    <font>
      <i/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1" fillId="0" borderId="0" xfId="0" applyFont="1"/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14">
    <dxf>
      <numFmt numFmtId="165" formatCode="#,##0.0"/>
    </dxf>
    <dxf>
      <numFmt numFmtId="165" formatCode="#,##0.0"/>
    </dxf>
    <dxf>
      <numFmt numFmtId="165" formatCode="#,##0.0"/>
    </dxf>
    <dxf>
      <numFmt numFmtId="165" formatCode="#,##0.0"/>
    </dxf>
    <dxf>
      <numFmt numFmtId="165" formatCode="#,##0.0"/>
    </dxf>
    <dxf>
      <numFmt numFmtId="165" formatCode="#,##0.0"/>
    </dxf>
    <dxf>
      <numFmt numFmtId="165" formatCode="#,##0.0"/>
    </dxf>
    <dxf>
      <numFmt numFmtId="165" formatCode="#,##0.0"/>
    </dxf>
    <dxf>
      <numFmt numFmtId="165" formatCode="#,##0.0"/>
    </dxf>
    <dxf>
      <numFmt numFmtId="164" formatCode="#,##0.000"/>
    </dxf>
    <dxf>
      <numFmt numFmtId="165" formatCode="#,##0.0"/>
    </dxf>
    <dxf>
      <numFmt numFmtId="165" formatCode="#,##0.0"/>
    </dxf>
    <dxf>
      <numFmt numFmtId="165" formatCode="#,##0.0"/>
    </dxf>
    <dxf>
      <numFmt numFmtId="165" formatCode="#,##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ecies_list" displayName="species_list" ref="A1:E88" totalsRowShown="0">
  <autoFilter ref="A1:E88" xr:uid="{00000000-0009-0000-0100-000001000000}"/>
  <tableColumns count="5">
    <tableColumn id="1" xr3:uid="{00000000-0010-0000-0000-000001000000}" name="Species"/>
    <tableColumn id="2" xr3:uid="{00000000-0010-0000-0000-000002000000}" name="Common Name"/>
    <tableColumn id="3" xr3:uid="{00000000-0010-0000-0000-000003000000}" name="Cast Net"/>
    <tableColumn id="4" xr3:uid="{00000000-0010-0000-0000-000004000000}" name="Centipede Net"/>
    <tableColumn id="5" xr3:uid="{00000000-0010-0000-0000-000005000000}" name="Sein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ite_summary" displayName="site_summary" ref="A1:M7" totalsRowShown="0">
  <autoFilter ref="A1:M7" xr:uid="{00000000-0009-0000-0100-000002000000}"/>
  <tableColumns count="13">
    <tableColumn id="1" xr3:uid="{00000000-0010-0000-0100-000001000000}" name="Site"/>
    <tableColumn id="2" xr3:uid="{00000000-0010-0000-0100-000002000000}" name="DominantSubstrate"/>
    <tableColumn id="3" xr3:uid="{00000000-0010-0000-0100-000003000000}" name="DaylightHrs"/>
    <tableColumn id="4" xr3:uid="{00000000-0010-0000-0100-000004000000}" name="DaylightPercent"/>
    <tableColumn id="5" xr3:uid="{00000000-0010-0000-0100-000005000000}" name="SecchiDepth_cm"/>
    <tableColumn id="6" xr3:uid="{00000000-0010-0000-0100-000006000000}" name="pH"/>
    <tableColumn id="7" xr3:uid="{00000000-0010-0000-0100-000007000000}" name="DO_PPM"/>
    <tableColumn id="8" xr3:uid="{00000000-0010-0000-0100-000008000000}" name="PSU"/>
    <tableColumn id="9" xr3:uid="{00000000-0010-0000-0100-000009000000}" name="Temperature_C"/>
    <tableColumn id="10" xr3:uid="{00000000-0010-0000-0100-00000A000000}" name="MudDominant"/>
    <tableColumn id="11" xr3:uid="{00000000-0010-0000-0100-00000B000000}" name="Steepness"/>
    <tableColumn id="12" xr3:uid="{00000000-0010-0000-0100-00000C000000}" name="OcclusionGroupAvg"/>
    <tableColumn id="13" xr3:uid="{00000000-0010-0000-0100-00000D000000}" name="OcclusionSTDev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udy_summary" displayName="study_summary" ref="A1:J2" totalsRowShown="0">
  <autoFilter ref="A1:J2" xr:uid="{00000000-0009-0000-0100-000003000000}"/>
  <tableColumns count="10">
    <tableColumn id="1" xr3:uid="{00000000-0010-0000-0200-000001000000}" name="Total Catch (n)"/>
    <tableColumn id="2" xr3:uid="{00000000-0010-0000-0200-000002000000}" name="Individual Measurements"/>
    <tableColumn id="3" xr3:uid="{00000000-0010-0000-0200-000003000000}" name="Species Richness"/>
    <tableColumn id="4" xr3:uid="{00000000-0010-0000-0200-000004000000}" name="Shannon Diversity"/>
    <tableColumn id="5" xr3:uid="{00000000-0010-0000-0200-000005000000}" name="Simpson Diversity"/>
    <tableColumn id="6" xr3:uid="{00000000-0010-0000-0200-000006000000}" name="Total Biomass (kg)"/>
    <tableColumn id="7" xr3:uid="{00000000-0010-0000-0200-000007000000}" name="Minimum Weight (g)"/>
    <tableColumn id="8" xr3:uid="{00000000-0010-0000-0200-000008000000}" name="Maximum Weight (g)"/>
    <tableColumn id="9" xr3:uid="{00000000-0010-0000-0200-000009000000}" name="Minimum Standard Length (mm)"/>
    <tableColumn id="10" xr3:uid="{00000000-0010-0000-0200-00000A000000}" name="Maximum Standard Length (mm)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ext_coverage_projection" displayName="inext_coverage_projection" ref="A1:G16" totalsRowShown="0">
  <autoFilter ref="A1:G16" xr:uid="{00000000-0009-0000-0100-000004000000}"/>
  <tableColumns count="7">
    <tableColumn id="1" xr3:uid="{00000000-0010-0000-0300-000001000000}" name="Assemblage"/>
    <tableColumn id="2" xr3:uid="{00000000-0010-0000-0300-000002000000}" name="Samples (n)" dataDxfId="13"/>
    <tableColumn id="3" xr3:uid="{00000000-0010-0000-0300-000003000000}" name="Method"/>
    <tableColumn id="4" xr3:uid="{00000000-0010-0000-0300-000004000000}" name="SC"/>
    <tableColumn id="5" xr3:uid="{00000000-0010-0000-0300-000005000000}" name="qD" dataDxfId="12"/>
    <tableColumn id="6" xr3:uid="{00000000-0010-0000-0300-000006000000}" name="qD.LCL" dataDxfId="11"/>
    <tableColumn id="7" xr3:uid="{00000000-0010-0000-0300-000007000000}" name="qD.UCL" dataDxfId="10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ext_coverage" displayName="inext_coverage" ref="A1:D8" totalsRowShown="0">
  <autoFilter ref="A1:D8" xr:uid="{00000000-0009-0000-0100-000005000000}"/>
  <tableColumns count="4">
    <tableColumn id="1" xr3:uid="{00000000-0010-0000-0400-000001000000}" name="Assemblage"/>
    <tableColumn id="2" xr3:uid="{00000000-0010-0000-0400-000002000000}" name="Number of Samples"/>
    <tableColumn id="3" xr3:uid="{00000000-0010-0000-0400-000003000000}" name="Observed Richness"/>
    <tableColumn id="4" xr3:uid="{00000000-0010-0000-0400-000004000000}" name="Estimated Sample Coverage" dataDxfId="9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inext_estimates" displayName="inext_estimates" ref="A1:G26" totalsRowShown="0">
  <autoFilter ref="A1:G26" xr:uid="{00000000-0009-0000-0100-000006000000}"/>
  <tableColumns count="7">
    <tableColumn id="1" xr3:uid="{00000000-0010-0000-0500-000001000000}" name="Assemblage"/>
    <tableColumn id="2" xr3:uid="{00000000-0010-0000-0500-000002000000}" name="Metric"/>
    <tableColumn id="3" xr3:uid="{00000000-0010-0000-0500-000003000000}" name="Observed" dataDxfId="8"/>
    <tableColumn id="4" xr3:uid="{00000000-0010-0000-0500-000004000000}" name="Estimated" dataDxfId="7"/>
    <tableColumn id="5" xr3:uid="{00000000-0010-0000-0500-000005000000}" name="s.e." dataDxfId="6"/>
    <tableColumn id="6" xr3:uid="{00000000-0010-0000-0500-000006000000}" name="LCL" dataDxfId="5"/>
    <tableColumn id="7" xr3:uid="{00000000-0010-0000-0500-000007000000}" name="UCL" dataDxfId="4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gear_study_summary" displayName="gear_study_summary" ref="A1:N8" totalsRowShown="0">
  <autoFilter ref="A1:N8" xr:uid="{00000000-0009-0000-0100-000007000000}"/>
  <tableColumns count="14">
    <tableColumn id="1" xr3:uid="{00000000-0010-0000-0600-000001000000}" name="Gear"/>
    <tableColumn id="2" xr3:uid="{00000000-0010-0000-0600-000002000000}" name="Total Samples"/>
    <tableColumn id="3" xr3:uid="{00000000-0010-0000-0600-000003000000}" name="Total Catch (n)"/>
    <tableColumn id="4" xr3:uid="{00000000-0010-0000-0600-000004000000}" name="Species Richness"/>
    <tableColumn id="5" xr3:uid="{00000000-0010-0000-0600-000005000000}" name="Shannon Diversity"/>
    <tableColumn id="6" xr3:uid="{00000000-0010-0000-0600-000006000000}" name="Simpson Diversity"/>
    <tableColumn id="7" xr3:uid="{00000000-0010-0000-0600-000007000000}" name="Mean Catch (n)"/>
    <tableColumn id="8" xr3:uid="{00000000-0010-0000-0600-000008000000}" name="Mean Richness"/>
    <tableColumn id="9" xr3:uid="{00000000-0010-0000-0600-000009000000}" name="Mean Shannon Diversity"/>
    <tableColumn id="10" xr3:uid="{00000000-0010-0000-0600-00000A000000}" name="Mean Simpson Diversity"/>
    <tableColumn id="11" xr3:uid="{00000000-0010-0000-0600-00000B000000}" name="Mean Biomass (g)"/>
    <tableColumn id="12" xr3:uid="{00000000-0010-0000-0600-00000C000000}" name="Mean CPUE"/>
    <tableColumn id="13" xr3:uid="{00000000-0010-0000-0600-00000D000000}" name="Mean Effort"/>
    <tableColumn id="14" xr3:uid="{00000000-0010-0000-0600-00000E000000}" name="Effort Unit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ite_catch" displayName="site_catch" ref="A1:E7" totalsRowShown="0">
  <autoFilter ref="A1:E7" xr:uid="{00000000-0009-0000-0100-000008000000}"/>
  <tableColumns count="5">
    <tableColumn id="1" xr3:uid="{00000000-0010-0000-0700-000001000000}" name="Site"/>
    <tableColumn id="2" xr3:uid="{00000000-0010-0000-0700-000002000000}" name="Cast Net"/>
    <tableColumn id="3" xr3:uid="{00000000-0010-0000-0700-000003000000}" name="Centipede Net"/>
    <tableColumn id="4" xr3:uid="{00000000-0010-0000-0700-000004000000}" name="Seine"/>
    <tableColumn id="5" xr3:uid="{00000000-0010-0000-0700-000005000000}" name="Total Catch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ite_cpue" displayName="site_cpue" ref="A1:E8" totalsRowShown="0">
  <autoFilter ref="A1:E8" xr:uid="{00000000-0009-0000-0100-000009000000}"/>
  <tableColumns count="5">
    <tableColumn id="1" xr3:uid="{00000000-0010-0000-0800-000001000000}" name="Site"/>
    <tableColumn id="2" xr3:uid="{00000000-0010-0000-0800-000002000000}" name="Cast Net" dataDxfId="3"/>
    <tableColumn id="3" xr3:uid="{00000000-0010-0000-0800-000003000000}" name="Centipede Net" dataDxfId="2"/>
    <tableColumn id="4" xr3:uid="{00000000-0010-0000-0800-000004000000}" name="Seine" dataDxfId="1"/>
    <tableColumn id="5" xr3:uid="{00000000-0010-0000-0800-000005000000}" name="All Gears" dataDxfId="0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gear_species_abundance" displayName="gear_species_abundance" ref="A1:H6" totalsRowShown="0">
  <autoFilter ref="A1:H6" xr:uid="{00000000-0009-0000-0100-00000A000000}"/>
  <tableColumns count="8">
    <tableColumn id="1" xr3:uid="{00000000-0010-0000-0900-000001000000}" name="Species (All Gears)"/>
    <tableColumn id="2" xr3:uid="{00000000-0010-0000-0900-000002000000}" name="All Gears"/>
    <tableColumn id="3" xr3:uid="{00000000-0010-0000-0900-000003000000}" name="Species (Cast Net)"/>
    <tableColumn id="4" xr3:uid="{00000000-0010-0000-0900-000004000000}" name="Cast Net"/>
    <tableColumn id="5" xr3:uid="{00000000-0010-0000-0900-000005000000}" name="Species (Centipede Net)"/>
    <tableColumn id="6" xr3:uid="{00000000-0010-0000-0900-000006000000}" name="Centipede Net"/>
    <tableColumn id="7" xr3:uid="{00000000-0010-0000-0900-000007000000}" name="Species (Seine)"/>
    <tableColumn id="8" xr3:uid="{00000000-0010-0000-0900-000008000000}" name="Seine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gear_combo_richness" displayName="gear_combo_richness" ref="A1:B8" totalsRowShown="0">
  <autoFilter ref="A1:B8" xr:uid="{00000000-0009-0000-0100-00000B000000}"/>
  <tableColumns count="2">
    <tableColumn id="1" xr3:uid="{00000000-0010-0000-0A00-000001000000}" name="GearCombo"/>
    <tableColumn id="2" xr3:uid="{00000000-0010-0000-0A00-000002000000}" name="Species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gear_exclusives" displayName="gear_exclusives" ref="A1:F20" totalsRowShown="0">
  <autoFilter ref="A1:F20" xr:uid="{00000000-0009-0000-0100-00000C000000}"/>
  <tableColumns count="6">
    <tableColumn id="1" xr3:uid="{00000000-0010-0000-0B00-000001000000}" name="Cast Net"/>
    <tableColumn id="2" xr3:uid="{00000000-0010-0000-0B00-000002000000}" name="(Cast)"/>
    <tableColumn id="3" xr3:uid="{00000000-0010-0000-0B00-000003000000}" name="Centipede Net "/>
    <tableColumn id="4" xr3:uid="{00000000-0010-0000-0B00-000004000000}" name="(Cent)"/>
    <tableColumn id="5" xr3:uid="{00000000-0010-0000-0B00-000005000000}" name="Seine"/>
    <tableColumn id="6" xr3:uid="{00000000-0010-0000-0B00-000006000000}" name="(Seine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workbookViewId="0"/>
  </sheetViews>
  <sheetFormatPr defaultRowHeight="14.25" x14ac:dyDescent="0.45"/>
  <cols>
    <col min="1" max="2" width="26.73046875" bestFit="1" customWidth="1"/>
    <col min="3" max="3" width="15" bestFit="1" customWidth="1"/>
    <col min="4" max="4" width="15.73046875" bestFit="1" customWidth="1"/>
    <col min="5" max="5" width="1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1" t="s">
        <v>6</v>
      </c>
      <c r="C2" s="4">
        <v>2</v>
      </c>
      <c r="D2" s="4">
        <v>0</v>
      </c>
      <c r="E2" s="4">
        <v>2</v>
      </c>
    </row>
    <row r="3" spans="1:5" x14ac:dyDescent="0.45">
      <c r="A3" s="2" t="s">
        <v>7</v>
      </c>
      <c r="B3" s="1" t="s">
        <v>8</v>
      </c>
      <c r="C3" s="4">
        <v>2</v>
      </c>
      <c r="D3" s="4">
        <v>0</v>
      </c>
      <c r="E3" s="4">
        <v>0</v>
      </c>
    </row>
    <row r="4" spans="1:5" x14ac:dyDescent="0.45">
      <c r="A4" s="2" t="s">
        <v>9</v>
      </c>
      <c r="B4" s="1" t="s">
        <v>10</v>
      </c>
      <c r="C4" s="4">
        <v>4</v>
      </c>
      <c r="D4" s="4">
        <v>0</v>
      </c>
      <c r="E4" s="4">
        <v>44</v>
      </c>
    </row>
    <row r="5" spans="1:5" x14ac:dyDescent="0.45">
      <c r="A5" s="2" t="s">
        <v>11</v>
      </c>
      <c r="B5" s="1" t="s">
        <v>12</v>
      </c>
      <c r="C5" s="4">
        <v>3</v>
      </c>
      <c r="D5" s="4">
        <v>0</v>
      </c>
      <c r="E5" s="4">
        <v>10</v>
      </c>
    </row>
    <row r="6" spans="1:5" x14ac:dyDescent="0.45">
      <c r="A6" s="2" t="s">
        <v>13</v>
      </c>
      <c r="B6" s="1" t="s">
        <v>14</v>
      </c>
      <c r="C6" s="4">
        <v>5</v>
      </c>
      <c r="D6" s="4">
        <v>0</v>
      </c>
      <c r="E6" s="4">
        <v>0</v>
      </c>
    </row>
    <row r="7" spans="1:5" x14ac:dyDescent="0.45">
      <c r="A7" s="2" t="s">
        <v>15</v>
      </c>
      <c r="B7" s="1" t="s">
        <v>16</v>
      </c>
      <c r="C7" s="4">
        <v>48</v>
      </c>
      <c r="D7" s="4">
        <v>17</v>
      </c>
      <c r="E7" s="4">
        <v>602</v>
      </c>
    </row>
    <row r="8" spans="1:5" x14ac:dyDescent="0.45">
      <c r="A8" s="2" t="s">
        <v>17</v>
      </c>
      <c r="B8" s="1" t="s">
        <v>18</v>
      </c>
      <c r="C8" s="4">
        <v>31</v>
      </c>
      <c r="D8" s="4">
        <v>14</v>
      </c>
      <c r="E8" s="4">
        <v>901</v>
      </c>
    </row>
    <row r="9" spans="1:5" x14ac:dyDescent="0.45">
      <c r="A9" s="2" t="s">
        <v>19</v>
      </c>
      <c r="B9" s="1" t="s">
        <v>20</v>
      </c>
      <c r="C9" s="4">
        <v>0</v>
      </c>
      <c r="D9" s="4">
        <v>2</v>
      </c>
      <c r="E9" s="4">
        <v>0</v>
      </c>
    </row>
    <row r="10" spans="1:5" x14ac:dyDescent="0.45">
      <c r="A10" s="2" t="s">
        <v>21</v>
      </c>
      <c r="B10" s="1" t="s">
        <v>22</v>
      </c>
      <c r="C10" s="4">
        <v>64</v>
      </c>
      <c r="D10" s="4">
        <v>314</v>
      </c>
      <c r="E10" s="4">
        <v>156</v>
      </c>
    </row>
    <row r="11" spans="1:5" x14ac:dyDescent="0.45">
      <c r="A11" s="2" t="s">
        <v>23</v>
      </c>
      <c r="B11" s="1" t="s">
        <v>24</v>
      </c>
      <c r="C11" s="4">
        <v>1</v>
      </c>
      <c r="D11" s="4">
        <v>0</v>
      </c>
      <c r="E11" s="4">
        <v>1</v>
      </c>
    </row>
    <row r="12" spans="1:5" x14ac:dyDescent="0.45">
      <c r="A12" s="2" t="s">
        <v>25</v>
      </c>
      <c r="B12" s="1" t="s">
        <v>26</v>
      </c>
      <c r="C12" s="4">
        <v>30</v>
      </c>
      <c r="D12" s="4">
        <v>4</v>
      </c>
      <c r="E12" s="4">
        <v>128</v>
      </c>
    </row>
    <row r="13" spans="1:5" x14ac:dyDescent="0.45">
      <c r="A13" s="2" t="s">
        <v>27</v>
      </c>
      <c r="B13" s="1" t="s">
        <v>28</v>
      </c>
      <c r="C13" s="4">
        <v>2</v>
      </c>
      <c r="D13" s="4">
        <v>0</v>
      </c>
      <c r="E13" s="4">
        <v>1</v>
      </c>
    </row>
    <row r="14" spans="1:5" x14ac:dyDescent="0.45">
      <c r="A14" s="2" t="s">
        <v>29</v>
      </c>
      <c r="B14" s="1" t="s">
        <v>30</v>
      </c>
      <c r="C14" s="4">
        <v>2</v>
      </c>
      <c r="D14" s="4">
        <v>11</v>
      </c>
      <c r="E14" s="4">
        <v>8</v>
      </c>
    </row>
    <row r="15" spans="1:5" x14ac:dyDescent="0.45">
      <c r="A15" s="2" t="s">
        <v>31</v>
      </c>
      <c r="B15" s="1" t="s">
        <v>32</v>
      </c>
      <c r="C15" s="4">
        <v>2</v>
      </c>
      <c r="D15" s="4">
        <v>2</v>
      </c>
      <c r="E15" s="4">
        <v>0</v>
      </c>
    </row>
    <row r="16" spans="1:5" x14ac:dyDescent="0.45">
      <c r="A16" s="2" t="s">
        <v>33</v>
      </c>
      <c r="B16" s="1" t="s">
        <v>34</v>
      </c>
      <c r="C16" s="4">
        <v>0</v>
      </c>
      <c r="D16" s="4">
        <v>2</v>
      </c>
      <c r="E16" s="4">
        <v>1</v>
      </c>
    </row>
    <row r="17" spans="1:5" x14ac:dyDescent="0.45">
      <c r="A17" s="2" t="s">
        <v>35</v>
      </c>
      <c r="B17" s="1" t="s">
        <v>36</v>
      </c>
      <c r="C17" s="4">
        <v>0</v>
      </c>
      <c r="D17" s="4">
        <v>5</v>
      </c>
      <c r="E17" s="4">
        <v>0</v>
      </c>
    </row>
    <row r="18" spans="1:5" x14ac:dyDescent="0.45">
      <c r="A18" s="2" t="s">
        <v>37</v>
      </c>
      <c r="B18" s="1" t="s">
        <v>38</v>
      </c>
      <c r="C18" s="4">
        <v>0</v>
      </c>
      <c r="D18" s="4">
        <v>4</v>
      </c>
      <c r="E18" s="4">
        <v>0</v>
      </c>
    </row>
    <row r="19" spans="1:5" x14ac:dyDescent="0.45">
      <c r="A19" s="2" t="s">
        <v>39</v>
      </c>
      <c r="B19" s="1" t="s">
        <v>40</v>
      </c>
      <c r="C19" s="4">
        <v>0</v>
      </c>
      <c r="D19" s="4">
        <v>0</v>
      </c>
      <c r="E19" s="4">
        <v>1</v>
      </c>
    </row>
    <row r="20" spans="1:5" x14ac:dyDescent="0.45">
      <c r="A20" s="2" t="s">
        <v>41</v>
      </c>
      <c r="B20" s="1" t="s">
        <v>42</v>
      </c>
      <c r="C20" s="4">
        <v>0</v>
      </c>
      <c r="D20" s="4">
        <v>0</v>
      </c>
      <c r="E20" s="4">
        <v>1</v>
      </c>
    </row>
    <row r="21" spans="1:5" x14ac:dyDescent="0.45">
      <c r="A21" s="2" t="s">
        <v>43</v>
      </c>
      <c r="B21" s="1" t="s">
        <v>44</v>
      </c>
      <c r="C21" s="4">
        <v>2</v>
      </c>
      <c r="D21" s="4">
        <v>0</v>
      </c>
      <c r="E21" s="4">
        <v>1</v>
      </c>
    </row>
    <row r="22" spans="1:5" x14ac:dyDescent="0.45">
      <c r="A22" s="2" t="s">
        <v>45</v>
      </c>
      <c r="B22" s="1" t="s">
        <v>46</v>
      </c>
      <c r="C22" s="4">
        <v>0</v>
      </c>
      <c r="D22" s="4">
        <v>4</v>
      </c>
      <c r="E22" s="4">
        <v>1</v>
      </c>
    </row>
    <row r="23" spans="1:5" x14ac:dyDescent="0.45">
      <c r="A23" s="2" t="s">
        <v>47</v>
      </c>
      <c r="B23" s="1" t="s">
        <v>48</v>
      </c>
      <c r="C23" s="4">
        <v>2</v>
      </c>
      <c r="D23" s="4">
        <v>4</v>
      </c>
      <c r="E23" s="4">
        <v>0</v>
      </c>
    </row>
    <row r="24" spans="1:5" x14ac:dyDescent="0.45">
      <c r="A24" s="2" t="s">
        <v>49</v>
      </c>
      <c r="B24" s="1" t="s">
        <v>50</v>
      </c>
      <c r="C24" s="4">
        <v>1</v>
      </c>
      <c r="D24" s="4">
        <v>2</v>
      </c>
      <c r="E24" s="4">
        <v>0</v>
      </c>
    </row>
    <row r="25" spans="1:5" x14ac:dyDescent="0.45">
      <c r="A25" s="2" t="s">
        <v>51</v>
      </c>
      <c r="B25" s="1" t="s">
        <v>52</v>
      </c>
      <c r="C25" s="4">
        <v>3</v>
      </c>
      <c r="D25" s="4">
        <v>21</v>
      </c>
      <c r="E25" s="4">
        <v>3</v>
      </c>
    </row>
    <row r="26" spans="1:5" x14ac:dyDescent="0.45">
      <c r="A26" s="2" t="s">
        <v>53</v>
      </c>
      <c r="B26" s="1" t="s">
        <v>54</v>
      </c>
      <c r="C26" s="4">
        <v>0</v>
      </c>
      <c r="D26" s="4">
        <v>0</v>
      </c>
      <c r="E26" s="4">
        <v>1</v>
      </c>
    </row>
    <row r="27" spans="1:5" x14ac:dyDescent="0.45">
      <c r="A27" s="2" t="s">
        <v>55</v>
      </c>
      <c r="B27" s="1" t="s">
        <v>56</v>
      </c>
      <c r="C27" s="4">
        <v>0</v>
      </c>
      <c r="D27" s="4">
        <v>0</v>
      </c>
      <c r="E27" s="4">
        <v>2</v>
      </c>
    </row>
    <row r="28" spans="1:5" x14ac:dyDescent="0.45">
      <c r="A28" s="2" t="s">
        <v>57</v>
      </c>
      <c r="B28" s="1" t="s">
        <v>58</v>
      </c>
      <c r="C28" s="4">
        <v>0</v>
      </c>
      <c r="D28" s="4">
        <v>0</v>
      </c>
      <c r="E28" s="4">
        <v>2</v>
      </c>
    </row>
    <row r="29" spans="1:5" x14ac:dyDescent="0.45">
      <c r="A29" s="2" t="s">
        <v>59</v>
      </c>
      <c r="B29" s="1" t="s">
        <v>60</v>
      </c>
      <c r="C29" s="4">
        <v>1</v>
      </c>
      <c r="D29" s="4">
        <v>3</v>
      </c>
      <c r="E29" s="4">
        <v>0</v>
      </c>
    </row>
    <row r="30" spans="1:5" x14ac:dyDescent="0.45">
      <c r="A30" s="2" t="s">
        <v>61</v>
      </c>
      <c r="B30" s="1" t="s">
        <v>62</v>
      </c>
      <c r="C30" s="4">
        <v>0</v>
      </c>
      <c r="D30" s="4">
        <v>1</v>
      </c>
      <c r="E30" s="4">
        <v>0</v>
      </c>
    </row>
    <row r="31" spans="1:5" x14ac:dyDescent="0.45">
      <c r="A31" s="2" t="s">
        <v>63</v>
      </c>
      <c r="B31" s="1" t="s">
        <v>64</v>
      </c>
      <c r="C31" s="4">
        <v>0</v>
      </c>
      <c r="D31" s="4">
        <v>3</v>
      </c>
      <c r="E31" s="4">
        <v>0</v>
      </c>
    </row>
    <row r="32" spans="1:5" x14ac:dyDescent="0.45">
      <c r="A32" s="2" t="s">
        <v>65</v>
      </c>
      <c r="B32" s="1" t="s">
        <v>66</v>
      </c>
      <c r="C32" s="4">
        <v>2</v>
      </c>
      <c r="D32" s="4">
        <v>2</v>
      </c>
      <c r="E32" s="4">
        <v>3</v>
      </c>
    </row>
    <row r="33" spans="1:5" x14ac:dyDescent="0.45">
      <c r="A33" s="2" t="s">
        <v>67</v>
      </c>
      <c r="B33" s="1" t="s">
        <v>68</v>
      </c>
      <c r="C33" s="4">
        <v>1</v>
      </c>
      <c r="D33" s="4">
        <v>0</v>
      </c>
      <c r="E33" s="4">
        <v>0</v>
      </c>
    </row>
    <row r="34" spans="1:5" x14ac:dyDescent="0.45">
      <c r="A34" s="2" t="s">
        <v>69</v>
      </c>
      <c r="B34" s="1" t="s">
        <v>70</v>
      </c>
      <c r="C34" s="4">
        <v>1</v>
      </c>
      <c r="D34" s="4">
        <v>2</v>
      </c>
      <c r="E34" s="4">
        <v>1</v>
      </c>
    </row>
    <row r="35" spans="1:5" x14ac:dyDescent="0.45">
      <c r="A35" s="2" t="s">
        <v>71</v>
      </c>
      <c r="B35" s="1" t="s">
        <v>72</v>
      </c>
      <c r="C35" s="4">
        <v>6</v>
      </c>
      <c r="D35" s="4">
        <v>85</v>
      </c>
      <c r="E35" s="4">
        <v>701</v>
      </c>
    </row>
    <row r="36" spans="1:5" x14ac:dyDescent="0.45">
      <c r="A36" s="2" t="s">
        <v>73</v>
      </c>
      <c r="B36" s="1" t="s">
        <v>74</v>
      </c>
      <c r="C36" s="4">
        <v>3</v>
      </c>
      <c r="D36" s="4">
        <v>2</v>
      </c>
      <c r="E36" s="4">
        <v>1</v>
      </c>
    </row>
    <row r="37" spans="1:5" x14ac:dyDescent="0.45">
      <c r="A37" s="2" t="s">
        <v>75</v>
      </c>
      <c r="B37" s="1" t="s">
        <v>76</v>
      </c>
      <c r="C37" s="4">
        <v>7</v>
      </c>
      <c r="D37" s="4">
        <v>24</v>
      </c>
      <c r="E37" s="4">
        <v>114</v>
      </c>
    </row>
    <row r="38" spans="1:5" x14ac:dyDescent="0.45">
      <c r="A38" s="2" t="s">
        <v>77</v>
      </c>
      <c r="B38" s="1" t="s">
        <v>78</v>
      </c>
      <c r="C38" s="4">
        <v>1</v>
      </c>
      <c r="D38" s="4">
        <v>0</v>
      </c>
      <c r="E38" s="4">
        <v>0</v>
      </c>
    </row>
    <row r="39" spans="1:5" x14ac:dyDescent="0.45">
      <c r="A39" s="2" t="s">
        <v>79</v>
      </c>
      <c r="B39" s="1" t="s">
        <v>80</v>
      </c>
      <c r="C39" s="4">
        <v>1</v>
      </c>
      <c r="D39" s="4">
        <v>0</v>
      </c>
      <c r="E39" s="4">
        <v>0</v>
      </c>
    </row>
    <row r="40" spans="1:5" x14ac:dyDescent="0.45">
      <c r="A40" s="2" t="s">
        <v>81</v>
      </c>
      <c r="B40" s="1" t="s">
        <v>82</v>
      </c>
      <c r="C40" s="4">
        <v>3</v>
      </c>
      <c r="D40" s="4">
        <v>0</v>
      </c>
      <c r="E40" s="4">
        <v>0</v>
      </c>
    </row>
    <row r="41" spans="1:5" x14ac:dyDescent="0.45">
      <c r="A41" s="2" t="s">
        <v>83</v>
      </c>
      <c r="B41" s="1" t="s">
        <v>84</v>
      </c>
      <c r="C41" s="4">
        <v>0</v>
      </c>
      <c r="D41" s="4">
        <v>0</v>
      </c>
      <c r="E41" s="4">
        <v>3</v>
      </c>
    </row>
    <row r="42" spans="1:5" x14ac:dyDescent="0.45">
      <c r="A42" s="2" t="s">
        <v>85</v>
      </c>
      <c r="B42" s="1" t="s">
        <v>86</v>
      </c>
      <c r="C42" s="4">
        <v>0</v>
      </c>
      <c r="D42" s="4">
        <v>1</v>
      </c>
      <c r="E42" s="4">
        <v>0</v>
      </c>
    </row>
    <row r="43" spans="1:5" x14ac:dyDescent="0.45">
      <c r="A43" s="2" t="s">
        <v>87</v>
      </c>
      <c r="B43" s="1" t="s">
        <v>88</v>
      </c>
      <c r="C43" s="4">
        <v>0</v>
      </c>
      <c r="D43" s="4">
        <v>2</v>
      </c>
      <c r="E43" s="4">
        <v>1</v>
      </c>
    </row>
    <row r="44" spans="1:5" x14ac:dyDescent="0.45">
      <c r="A44" s="2" t="s">
        <v>89</v>
      </c>
      <c r="B44" s="1" t="s">
        <v>90</v>
      </c>
      <c r="C44" s="4">
        <v>0</v>
      </c>
      <c r="D44" s="4">
        <v>1</v>
      </c>
      <c r="E44" s="4">
        <v>3</v>
      </c>
    </row>
    <row r="45" spans="1:5" x14ac:dyDescent="0.45">
      <c r="A45" s="2" t="s">
        <v>91</v>
      </c>
      <c r="B45" s="1" t="s">
        <v>92</v>
      </c>
      <c r="C45" s="4">
        <v>1</v>
      </c>
      <c r="D45" s="4">
        <v>2</v>
      </c>
      <c r="E45" s="4">
        <v>0</v>
      </c>
    </row>
    <row r="46" spans="1:5" x14ac:dyDescent="0.45">
      <c r="A46" s="2" t="s">
        <v>93</v>
      </c>
      <c r="B46" s="1" t="s">
        <v>94</v>
      </c>
      <c r="C46" s="4">
        <v>0</v>
      </c>
      <c r="D46" s="4">
        <v>4</v>
      </c>
      <c r="E46" s="4">
        <v>5</v>
      </c>
    </row>
    <row r="47" spans="1:5" x14ac:dyDescent="0.45">
      <c r="A47" s="2" t="s">
        <v>95</v>
      </c>
      <c r="B47" s="1" t="s">
        <v>96</v>
      </c>
      <c r="C47" s="4">
        <v>0</v>
      </c>
      <c r="D47" s="4">
        <v>0</v>
      </c>
      <c r="E47" s="4">
        <v>1</v>
      </c>
    </row>
    <row r="48" spans="1:5" x14ac:dyDescent="0.45">
      <c r="A48" s="2" t="s">
        <v>97</v>
      </c>
      <c r="B48" s="1" t="s">
        <v>98</v>
      </c>
      <c r="C48" s="4">
        <v>0</v>
      </c>
      <c r="D48" s="4">
        <v>0</v>
      </c>
      <c r="E48" s="4">
        <v>1</v>
      </c>
    </row>
    <row r="49" spans="1:5" x14ac:dyDescent="0.45">
      <c r="A49" s="2" t="s">
        <v>99</v>
      </c>
      <c r="B49" s="1" t="s">
        <v>100</v>
      </c>
      <c r="C49" s="4">
        <v>0</v>
      </c>
      <c r="D49" s="4">
        <v>0</v>
      </c>
      <c r="E49" s="4">
        <v>3</v>
      </c>
    </row>
    <row r="50" spans="1:5" x14ac:dyDescent="0.45">
      <c r="A50" s="2" t="s">
        <v>101</v>
      </c>
      <c r="B50" s="1" t="s">
        <v>102</v>
      </c>
      <c r="C50" s="4">
        <v>0</v>
      </c>
      <c r="D50" s="4">
        <v>1</v>
      </c>
      <c r="E50" s="4">
        <v>1</v>
      </c>
    </row>
    <row r="51" spans="1:5" x14ac:dyDescent="0.45">
      <c r="A51" s="2" t="s">
        <v>103</v>
      </c>
      <c r="B51" s="1" t="s">
        <v>104</v>
      </c>
      <c r="C51" s="4">
        <v>0</v>
      </c>
      <c r="D51" s="4">
        <v>1</v>
      </c>
      <c r="E51" s="4">
        <v>0</v>
      </c>
    </row>
    <row r="52" spans="1:5" x14ac:dyDescent="0.45">
      <c r="A52" s="2" t="s">
        <v>105</v>
      </c>
      <c r="B52" s="1" t="s">
        <v>106</v>
      </c>
      <c r="C52" s="4">
        <v>6</v>
      </c>
      <c r="D52" s="4">
        <v>9</v>
      </c>
      <c r="E52" s="4">
        <v>0</v>
      </c>
    </row>
    <row r="53" spans="1:5" x14ac:dyDescent="0.45">
      <c r="A53" s="2" t="s">
        <v>107</v>
      </c>
      <c r="B53" s="1" t="s">
        <v>108</v>
      </c>
      <c r="C53" s="4">
        <v>0</v>
      </c>
      <c r="D53" s="4">
        <v>0</v>
      </c>
      <c r="E53" s="4">
        <v>2</v>
      </c>
    </row>
    <row r="54" spans="1:5" x14ac:dyDescent="0.45">
      <c r="A54" s="2" t="s">
        <v>109</v>
      </c>
      <c r="B54" s="1" t="s">
        <v>110</v>
      </c>
      <c r="C54" s="4">
        <v>0</v>
      </c>
      <c r="D54" s="4">
        <v>1</v>
      </c>
      <c r="E54" s="4">
        <v>0</v>
      </c>
    </row>
    <row r="55" spans="1:5" x14ac:dyDescent="0.45">
      <c r="A55" s="2" t="s">
        <v>111</v>
      </c>
      <c r="B55" s="1" t="s">
        <v>112</v>
      </c>
      <c r="C55" s="4">
        <v>27</v>
      </c>
      <c r="D55" s="4">
        <v>20</v>
      </c>
      <c r="E55" s="4">
        <v>308</v>
      </c>
    </row>
    <row r="56" spans="1:5" x14ac:dyDescent="0.45">
      <c r="A56" s="2" t="s">
        <v>113</v>
      </c>
      <c r="B56" s="1" t="s">
        <v>114</v>
      </c>
      <c r="C56" s="4">
        <v>0</v>
      </c>
      <c r="D56" s="4">
        <v>1</v>
      </c>
      <c r="E56" s="4">
        <v>0</v>
      </c>
    </row>
    <row r="57" spans="1:5" x14ac:dyDescent="0.45">
      <c r="A57" s="2" t="s">
        <v>115</v>
      </c>
      <c r="B57" s="1" t="s">
        <v>116</v>
      </c>
      <c r="C57" s="4">
        <v>0</v>
      </c>
      <c r="D57" s="4">
        <v>4</v>
      </c>
      <c r="E57" s="4">
        <v>3</v>
      </c>
    </row>
    <row r="58" spans="1:5" x14ac:dyDescent="0.45">
      <c r="A58" s="2" t="s">
        <v>117</v>
      </c>
      <c r="B58" s="1" t="s">
        <v>118</v>
      </c>
      <c r="C58" s="4">
        <v>3</v>
      </c>
      <c r="D58" s="4">
        <v>0</v>
      </c>
      <c r="E58" s="4">
        <v>0</v>
      </c>
    </row>
    <row r="59" spans="1:5" x14ac:dyDescent="0.45">
      <c r="A59" s="2" t="s">
        <v>119</v>
      </c>
      <c r="B59" s="1" t="s">
        <v>120</v>
      </c>
      <c r="C59" s="4">
        <v>1</v>
      </c>
      <c r="D59" s="4">
        <v>0</v>
      </c>
      <c r="E59" s="4">
        <v>0</v>
      </c>
    </row>
    <row r="60" spans="1:5" x14ac:dyDescent="0.45">
      <c r="A60" s="2" t="s">
        <v>121</v>
      </c>
      <c r="B60" s="1" t="s">
        <v>122</v>
      </c>
      <c r="C60" s="4">
        <v>0</v>
      </c>
      <c r="D60" s="4">
        <v>2</v>
      </c>
      <c r="E60" s="4">
        <v>0</v>
      </c>
    </row>
    <row r="61" spans="1:5" x14ac:dyDescent="0.45">
      <c r="A61" s="2" t="s">
        <v>123</v>
      </c>
      <c r="B61" s="1" t="s">
        <v>124</v>
      </c>
      <c r="C61" s="4">
        <v>0</v>
      </c>
      <c r="D61" s="4">
        <v>2</v>
      </c>
      <c r="E61" s="4">
        <v>0</v>
      </c>
    </row>
    <row r="62" spans="1:5" x14ac:dyDescent="0.45">
      <c r="A62" s="2" t="s">
        <v>125</v>
      </c>
      <c r="B62" s="1" t="s">
        <v>126</v>
      </c>
      <c r="C62" s="4">
        <v>1</v>
      </c>
      <c r="D62" s="4">
        <v>0</v>
      </c>
      <c r="E62" s="4">
        <v>0</v>
      </c>
    </row>
    <row r="63" spans="1:5" x14ac:dyDescent="0.45">
      <c r="A63" s="2" t="s">
        <v>127</v>
      </c>
      <c r="B63" s="1" t="s">
        <v>128</v>
      </c>
      <c r="C63" s="4">
        <v>0</v>
      </c>
      <c r="D63" s="4">
        <v>1</v>
      </c>
      <c r="E63" s="4">
        <v>0</v>
      </c>
    </row>
    <row r="64" spans="1:5" x14ac:dyDescent="0.45">
      <c r="A64" s="2" t="s">
        <v>129</v>
      </c>
      <c r="B64" s="1" t="s">
        <v>130</v>
      </c>
      <c r="C64" s="4">
        <v>2</v>
      </c>
      <c r="D64" s="4">
        <v>0</v>
      </c>
      <c r="E64" s="4">
        <v>0</v>
      </c>
    </row>
    <row r="65" spans="1:5" x14ac:dyDescent="0.45">
      <c r="A65" s="2" t="s">
        <v>131</v>
      </c>
      <c r="B65" s="1" t="s">
        <v>132</v>
      </c>
      <c r="C65" s="4">
        <v>14</v>
      </c>
      <c r="D65" s="4">
        <v>1</v>
      </c>
      <c r="E65" s="4">
        <v>1</v>
      </c>
    </row>
    <row r="66" spans="1:5" x14ac:dyDescent="0.45">
      <c r="A66" s="2" t="s">
        <v>133</v>
      </c>
      <c r="B66" s="1" t="s">
        <v>134</v>
      </c>
      <c r="C66" s="4">
        <v>0</v>
      </c>
      <c r="D66" s="4">
        <v>0</v>
      </c>
      <c r="E66" s="4">
        <v>2</v>
      </c>
    </row>
    <row r="67" spans="1:5" x14ac:dyDescent="0.45">
      <c r="A67" s="2" t="s">
        <v>135</v>
      </c>
      <c r="B67" s="1" t="s">
        <v>136</v>
      </c>
      <c r="C67" s="4">
        <v>1</v>
      </c>
      <c r="D67" s="4">
        <v>3</v>
      </c>
      <c r="E67" s="4">
        <v>3</v>
      </c>
    </row>
    <row r="68" spans="1:5" x14ac:dyDescent="0.45">
      <c r="A68" s="2" t="s">
        <v>137</v>
      </c>
      <c r="B68" s="1" t="s">
        <v>138</v>
      </c>
      <c r="C68" s="4">
        <v>1</v>
      </c>
      <c r="D68" s="4">
        <v>1</v>
      </c>
      <c r="E68" s="4">
        <v>1</v>
      </c>
    </row>
    <row r="69" spans="1:5" x14ac:dyDescent="0.45">
      <c r="A69" s="2" t="s">
        <v>139</v>
      </c>
      <c r="B69" s="1" t="s">
        <v>140</v>
      </c>
      <c r="C69" s="4">
        <v>0</v>
      </c>
      <c r="D69" s="4">
        <v>1</v>
      </c>
      <c r="E69" s="4">
        <v>0</v>
      </c>
    </row>
    <row r="70" spans="1:5" x14ac:dyDescent="0.45">
      <c r="A70" s="2" t="s">
        <v>141</v>
      </c>
      <c r="B70" s="1" t="s">
        <v>142</v>
      </c>
      <c r="C70" s="4">
        <v>0</v>
      </c>
      <c r="D70" s="4">
        <v>0</v>
      </c>
      <c r="E70" s="4">
        <v>1</v>
      </c>
    </row>
    <row r="71" spans="1:5" x14ac:dyDescent="0.45">
      <c r="A71" s="2" t="s">
        <v>143</v>
      </c>
      <c r="B71" s="1" t="s">
        <v>144</v>
      </c>
      <c r="C71" s="4">
        <v>1</v>
      </c>
      <c r="D71" s="4">
        <v>53</v>
      </c>
      <c r="E71" s="4">
        <v>135</v>
      </c>
    </row>
    <row r="72" spans="1:5" x14ac:dyDescent="0.45">
      <c r="A72" s="2" t="s">
        <v>145</v>
      </c>
      <c r="B72" s="1" t="s">
        <v>146</v>
      </c>
      <c r="C72" s="4">
        <v>0</v>
      </c>
      <c r="D72" s="4">
        <v>11</v>
      </c>
      <c r="E72" s="4">
        <v>0</v>
      </c>
    </row>
    <row r="73" spans="1:5" x14ac:dyDescent="0.45">
      <c r="A73" s="2" t="s">
        <v>147</v>
      </c>
      <c r="B73" s="1" t="s">
        <v>148</v>
      </c>
      <c r="C73" s="4">
        <v>0</v>
      </c>
      <c r="D73" s="4">
        <v>12</v>
      </c>
      <c r="E73" s="4">
        <v>0</v>
      </c>
    </row>
    <row r="74" spans="1:5" x14ac:dyDescent="0.45">
      <c r="A74" s="2" t="s">
        <v>149</v>
      </c>
      <c r="B74" s="1" t="s">
        <v>150</v>
      </c>
      <c r="C74" s="4">
        <v>1</v>
      </c>
      <c r="D74" s="4">
        <v>0</v>
      </c>
      <c r="E74" s="4">
        <v>0</v>
      </c>
    </row>
    <row r="75" spans="1:5" x14ac:dyDescent="0.45">
      <c r="A75" s="2" t="s">
        <v>151</v>
      </c>
      <c r="B75" s="1" t="s">
        <v>152</v>
      </c>
      <c r="C75" s="4">
        <v>0</v>
      </c>
      <c r="D75" s="4">
        <v>1</v>
      </c>
      <c r="E75" s="4">
        <v>1</v>
      </c>
    </row>
    <row r="76" spans="1:5" x14ac:dyDescent="0.45">
      <c r="A76" s="2" t="s">
        <v>153</v>
      </c>
      <c r="B76" s="1" t="s">
        <v>154</v>
      </c>
      <c r="C76" s="4">
        <v>4</v>
      </c>
      <c r="D76" s="4">
        <v>0</v>
      </c>
      <c r="E76" s="4">
        <v>6</v>
      </c>
    </row>
    <row r="77" spans="1:5" x14ac:dyDescent="0.45">
      <c r="A77" s="2" t="s">
        <v>155</v>
      </c>
      <c r="B77" s="1" t="s">
        <v>156</v>
      </c>
      <c r="C77" s="4">
        <v>0</v>
      </c>
      <c r="D77" s="4">
        <v>3</v>
      </c>
      <c r="E77" s="4">
        <v>5</v>
      </c>
    </row>
    <row r="78" spans="1:5" x14ac:dyDescent="0.45">
      <c r="A78" s="2" t="s">
        <v>157</v>
      </c>
      <c r="B78" s="1" t="s">
        <v>158</v>
      </c>
      <c r="C78" s="4">
        <v>0</v>
      </c>
      <c r="D78" s="4">
        <v>3</v>
      </c>
      <c r="E78" s="4">
        <v>0</v>
      </c>
    </row>
    <row r="79" spans="1:5" x14ac:dyDescent="0.45">
      <c r="A79" s="2" t="s">
        <v>159</v>
      </c>
      <c r="B79" s="1" t="s">
        <v>160</v>
      </c>
      <c r="C79" s="4">
        <v>0</v>
      </c>
      <c r="D79" s="4">
        <v>3</v>
      </c>
      <c r="E79" s="4">
        <v>0</v>
      </c>
    </row>
    <row r="80" spans="1:5" x14ac:dyDescent="0.45">
      <c r="A80" s="2" t="s">
        <v>161</v>
      </c>
      <c r="B80" s="1" t="s">
        <v>162</v>
      </c>
      <c r="C80" s="4">
        <v>8</v>
      </c>
      <c r="D80" s="4">
        <v>61</v>
      </c>
      <c r="E80" s="4">
        <v>10</v>
      </c>
    </row>
    <row r="81" spans="1:5" x14ac:dyDescent="0.45">
      <c r="A81" s="2" t="s">
        <v>163</v>
      </c>
      <c r="B81" s="1" t="s">
        <v>164</v>
      </c>
      <c r="C81" s="4">
        <v>3</v>
      </c>
      <c r="D81" s="4">
        <v>18</v>
      </c>
      <c r="E81" s="4">
        <v>7</v>
      </c>
    </row>
    <row r="82" spans="1:5" x14ac:dyDescent="0.45">
      <c r="A82" s="2" t="s">
        <v>165</v>
      </c>
      <c r="B82" s="1" t="s">
        <v>166</v>
      </c>
      <c r="C82" s="4">
        <v>1</v>
      </c>
      <c r="D82" s="4">
        <v>0</v>
      </c>
      <c r="E82" s="4">
        <v>0</v>
      </c>
    </row>
    <row r="83" spans="1:5" x14ac:dyDescent="0.45">
      <c r="A83" s="2" t="s">
        <v>167</v>
      </c>
      <c r="B83" s="1" t="s">
        <v>168</v>
      </c>
      <c r="C83" s="4">
        <v>0</v>
      </c>
      <c r="D83" s="4">
        <v>2</v>
      </c>
      <c r="E83" s="4">
        <v>1</v>
      </c>
    </row>
    <row r="84" spans="1:5" x14ac:dyDescent="0.45">
      <c r="A84" s="2" t="s">
        <v>169</v>
      </c>
      <c r="B84" s="1" t="s">
        <v>170</v>
      </c>
      <c r="C84" s="4">
        <v>42</v>
      </c>
      <c r="D84" s="4">
        <v>1</v>
      </c>
      <c r="E84" s="4">
        <v>7</v>
      </c>
    </row>
    <row r="85" spans="1:5" x14ac:dyDescent="0.45">
      <c r="A85" s="2" t="s">
        <v>171</v>
      </c>
      <c r="B85" s="1" t="s">
        <v>172</v>
      </c>
      <c r="C85" s="4">
        <v>56</v>
      </c>
      <c r="D85" s="4">
        <v>0</v>
      </c>
      <c r="E85" s="4">
        <v>0</v>
      </c>
    </row>
    <row r="86" spans="1:5" x14ac:dyDescent="0.45">
      <c r="A86" s="2" t="s">
        <v>173</v>
      </c>
      <c r="B86" s="1" t="s">
        <v>174</v>
      </c>
      <c r="C86" s="4">
        <v>1</v>
      </c>
      <c r="D86" s="4">
        <v>0</v>
      </c>
      <c r="E86" s="4">
        <v>10</v>
      </c>
    </row>
    <row r="87" spans="1:5" x14ac:dyDescent="0.45">
      <c r="A87" s="2" t="s">
        <v>175</v>
      </c>
      <c r="B87" s="1" t="s">
        <v>176</v>
      </c>
      <c r="C87" s="4">
        <v>0</v>
      </c>
      <c r="D87" s="4">
        <v>5</v>
      </c>
      <c r="E87" s="4">
        <v>0</v>
      </c>
    </row>
    <row r="88" spans="1:5" x14ac:dyDescent="0.45">
      <c r="A88" s="2" t="s">
        <v>177</v>
      </c>
      <c r="B88" s="1" t="s">
        <v>178</v>
      </c>
      <c r="C88" s="4">
        <v>0</v>
      </c>
      <c r="D88" s="4">
        <v>2</v>
      </c>
      <c r="E88" s="4">
        <v>0</v>
      </c>
    </row>
    <row r="89" spans="1:5" x14ac:dyDescent="0.45">
      <c r="A89" s="3"/>
      <c r="C89" s="5"/>
      <c r="D89" s="5"/>
      <c r="E89" s="5"/>
    </row>
    <row r="90" spans="1:5" x14ac:dyDescent="0.45">
      <c r="A90" s="3"/>
      <c r="C90" s="5"/>
      <c r="D90" s="5"/>
      <c r="E90" s="5"/>
    </row>
    <row r="91" spans="1:5" x14ac:dyDescent="0.45">
      <c r="A91" s="3"/>
      <c r="C91" s="5"/>
      <c r="D91" s="5"/>
      <c r="E91" s="5"/>
    </row>
    <row r="92" spans="1:5" x14ac:dyDescent="0.45">
      <c r="A92" s="3"/>
      <c r="C92" s="5"/>
      <c r="D92" s="5"/>
      <c r="E92" s="5"/>
    </row>
    <row r="93" spans="1:5" x14ac:dyDescent="0.45">
      <c r="A93" s="3"/>
      <c r="C93" s="5"/>
      <c r="D93" s="5"/>
      <c r="E93" s="5"/>
    </row>
    <row r="94" spans="1:5" x14ac:dyDescent="0.45">
      <c r="A94" s="3"/>
      <c r="C94" s="5"/>
      <c r="D94" s="5"/>
      <c r="E94" s="5"/>
    </row>
    <row r="95" spans="1:5" x14ac:dyDescent="0.45">
      <c r="A95" s="3"/>
      <c r="C95" s="5"/>
      <c r="D95" s="5"/>
      <c r="E95" s="5"/>
    </row>
    <row r="96" spans="1:5" x14ac:dyDescent="0.45">
      <c r="A96" s="3"/>
      <c r="C96" s="5"/>
      <c r="D96" s="5"/>
      <c r="E96" s="5"/>
    </row>
    <row r="97" spans="1:5" x14ac:dyDescent="0.45">
      <c r="A97" s="3"/>
      <c r="C97" s="5"/>
      <c r="D97" s="5"/>
      <c r="E97" s="5"/>
    </row>
    <row r="98" spans="1:5" x14ac:dyDescent="0.45">
      <c r="A98" s="3"/>
      <c r="C98" s="5"/>
      <c r="D98" s="5"/>
      <c r="E98" s="5"/>
    </row>
    <row r="99" spans="1:5" x14ac:dyDescent="0.45">
      <c r="A99" s="3"/>
      <c r="C99" s="5"/>
      <c r="D99" s="5"/>
      <c r="E99" s="5"/>
    </row>
    <row r="100" spans="1:5" x14ac:dyDescent="0.45">
      <c r="A100" s="3"/>
      <c r="C100" s="5"/>
      <c r="D100" s="5"/>
      <c r="E100" s="5"/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defaultRowHeight="14.25" x14ac:dyDescent="0.45"/>
  <cols>
    <col min="1" max="1" width="15.73046875" bestFit="1" customWidth="1"/>
    <col min="2" max="2" width="17.73046875" bestFit="1" customWidth="1"/>
    <col min="3" max="9" width="16.73046875" bestFit="1" customWidth="1"/>
    <col min="10" max="11" width="15" bestFit="1" customWidth="1"/>
    <col min="12" max="12" width="17.73046875" bestFit="1" customWidth="1"/>
    <col min="13" max="13" width="16.73046875" bestFit="1" customWidth="1"/>
  </cols>
  <sheetData>
    <row r="1" spans="1:13" x14ac:dyDescent="0.45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</row>
    <row r="2" spans="1:13" x14ac:dyDescent="0.45">
      <c r="A2" s="1" t="s">
        <v>192</v>
      </c>
      <c r="B2" s="1" t="s">
        <v>193</v>
      </c>
      <c r="C2" s="1">
        <v>1.74336419753086</v>
      </c>
      <c r="D2" s="1">
        <v>39.835701181057203</v>
      </c>
      <c r="E2" s="1">
        <v>19.780555555555601</v>
      </c>
      <c r="F2" s="1">
        <v>7.585</v>
      </c>
      <c r="G2" s="1">
        <v>5.7686666666666699</v>
      </c>
      <c r="H2" s="1">
        <v>6.1022222222222204</v>
      </c>
      <c r="I2" s="1">
        <v>26.819333333333301</v>
      </c>
      <c r="J2" s="1">
        <v>1</v>
      </c>
      <c r="K2" s="1">
        <v>2</v>
      </c>
      <c r="L2" s="1">
        <v>23.191483515819101</v>
      </c>
      <c r="M2" s="1">
        <v>8.5624885294581699</v>
      </c>
    </row>
    <row r="3" spans="1:13" x14ac:dyDescent="0.45">
      <c r="A3" s="1" t="s">
        <v>194</v>
      </c>
      <c r="B3" s="1" t="s">
        <v>195</v>
      </c>
      <c r="C3" s="1">
        <v>2.7405555555555599</v>
      </c>
      <c r="D3" s="1">
        <v>63.3254252728929</v>
      </c>
      <c r="E3" s="1">
        <v>41.933333333333302</v>
      </c>
      <c r="F3" s="1">
        <v>7.8311111111111096</v>
      </c>
      <c r="G3" s="1">
        <v>6.9522222222222201</v>
      </c>
      <c r="H3" s="1">
        <v>27.786000000000001</v>
      </c>
      <c r="I3" s="1">
        <v>30.079166666666701</v>
      </c>
      <c r="J3" s="1">
        <v>0</v>
      </c>
      <c r="K3" s="1">
        <v>1</v>
      </c>
      <c r="L3" s="1">
        <v>22.369006107402299</v>
      </c>
      <c r="M3" s="1">
        <v>9.4745502577614804</v>
      </c>
    </row>
    <row r="4" spans="1:13" x14ac:dyDescent="0.45">
      <c r="A4" s="1" t="s">
        <v>196</v>
      </c>
      <c r="B4" s="1" t="s">
        <v>193</v>
      </c>
      <c r="C4" s="1">
        <v>3.4132253086419801</v>
      </c>
      <c r="D4" s="1">
        <v>67.5063648458963</v>
      </c>
      <c r="E4" s="1">
        <v>24.566666666666698</v>
      </c>
      <c r="F4" s="1">
        <v>7.8633333333333297</v>
      </c>
      <c r="G4" s="1">
        <v>5.8741666666666701</v>
      </c>
      <c r="H4" s="1">
        <v>25.399444444444399</v>
      </c>
      <c r="I4" s="1">
        <v>31.337333333333302</v>
      </c>
      <c r="J4" s="1">
        <v>1</v>
      </c>
      <c r="K4" s="1">
        <v>0</v>
      </c>
      <c r="L4" s="1">
        <v>19.1697851242082</v>
      </c>
      <c r="M4" s="1">
        <v>9.5863830295383892</v>
      </c>
    </row>
    <row r="5" spans="1:13" x14ac:dyDescent="0.45">
      <c r="A5" s="1" t="s">
        <v>197</v>
      </c>
      <c r="B5" s="1" t="s">
        <v>193</v>
      </c>
      <c r="C5" s="1">
        <v>2.8144444444444399</v>
      </c>
      <c r="D5" s="1">
        <v>62.0291021743136</v>
      </c>
      <c r="E5" s="1">
        <v>37.976666666666702</v>
      </c>
      <c r="F5" s="1">
        <v>8.0333333333333297</v>
      </c>
      <c r="G5" s="1">
        <v>8.5311111111111106</v>
      </c>
      <c r="H5" s="1">
        <v>28.238666666666699</v>
      </c>
      <c r="I5" s="1">
        <v>32.601999999999997</v>
      </c>
      <c r="J5" s="1">
        <v>1</v>
      </c>
      <c r="K5" s="1">
        <v>0</v>
      </c>
      <c r="L5" s="1">
        <v>28.1541708550224</v>
      </c>
      <c r="M5" s="1">
        <v>5.5141788211503098</v>
      </c>
    </row>
    <row r="6" spans="1:13" x14ac:dyDescent="0.45">
      <c r="A6" s="1" t="s">
        <v>198</v>
      </c>
      <c r="B6" s="1" t="s">
        <v>193</v>
      </c>
      <c r="C6" s="1">
        <v>2.7299382716049401</v>
      </c>
      <c r="D6" s="1">
        <v>45.725383058982999</v>
      </c>
      <c r="E6" s="1">
        <v>40.022222222222197</v>
      </c>
      <c r="F6" s="1">
        <v>7.8283333333333296</v>
      </c>
      <c r="G6" s="1">
        <v>6.1413333333333302</v>
      </c>
      <c r="H6" s="1">
        <v>29.307222222222201</v>
      </c>
      <c r="I6" s="1">
        <v>28.15</v>
      </c>
      <c r="J6" s="1">
        <v>1</v>
      </c>
      <c r="K6" s="1">
        <v>1</v>
      </c>
      <c r="L6" s="1">
        <v>27.178182114480801</v>
      </c>
      <c r="M6" s="1">
        <v>10.2978273919505</v>
      </c>
    </row>
    <row r="7" spans="1:13" x14ac:dyDescent="0.45">
      <c r="A7" s="1" t="s">
        <v>199</v>
      </c>
      <c r="B7" s="1" t="s">
        <v>200</v>
      </c>
      <c r="C7" s="1">
        <v>2.3053086419753099</v>
      </c>
      <c r="D7" s="1">
        <v>77.181851845124697</v>
      </c>
      <c r="E7" s="1">
        <v>102.7</v>
      </c>
      <c r="F7" s="1">
        <v>7.6749999999999998</v>
      </c>
      <c r="G7" s="1">
        <v>7.7013333333333298</v>
      </c>
      <c r="H7" s="1">
        <v>23.219444444444399</v>
      </c>
      <c r="I7" s="1">
        <v>27.713999999999999</v>
      </c>
      <c r="J7" s="1">
        <v>0</v>
      </c>
      <c r="K7" s="1">
        <v>2</v>
      </c>
      <c r="L7" s="1">
        <v>15.331984389454799</v>
      </c>
      <c r="M7" s="1">
        <v>13.5812071542334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/>
  </sheetViews>
  <sheetFormatPr defaultRowHeight="14.25" x14ac:dyDescent="0.45"/>
  <cols>
    <col min="1" max="1" width="15.73046875" bestFit="1" customWidth="1"/>
    <col min="2" max="2" width="23.73046875" bestFit="1" customWidth="1"/>
    <col min="3" max="3" width="16.73046875" bestFit="1" customWidth="1"/>
    <col min="4" max="5" width="17.73046875" bestFit="1" customWidth="1"/>
    <col min="6" max="8" width="18.73046875" bestFit="1" customWidth="1"/>
    <col min="9" max="10" width="28.73046875" bestFit="1" customWidth="1"/>
  </cols>
  <sheetData>
    <row r="1" spans="1:10" x14ac:dyDescent="0.45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</row>
    <row r="2" spans="1:10" x14ac:dyDescent="0.45">
      <c r="A2" s="1">
        <v>4372</v>
      </c>
      <c r="B2" s="1">
        <v>2298</v>
      </c>
      <c r="C2" s="1">
        <v>87</v>
      </c>
      <c r="D2" s="1">
        <v>41.129418516071901</v>
      </c>
      <c r="E2" s="1">
        <v>23.0605571255551</v>
      </c>
      <c r="F2" s="1">
        <v>49.508997333333298</v>
      </c>
      <c r="G2" s="1">
        <v>0.01</v>
      </c>
      <c r="H2" s="1">
        <v>1110</v>
      </c>
      <c r="I2" s="1">
        <v>9</v>
      </c>
      <c r="J2" s="1">
        <v>1042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tabSelected="1" workbookViewId="0">
      <selection activeCell="B19" sqref="B19"/>
    </sheetView>
  </sheetViews>
  <sheetFormatPr defaultRowHeight="14.25" x14ac:dyDescent="0.45"/>
  <cols>
    <col min="1" max="1" width="24.73046875" bestFit="1" customWidth="1"/>
    <col min="2" max="2" width="16.73046875" bestFit="1" customWidth="1"/>
    <col min="3" max="4" width="15.73046875" bestFit="1" customWidth="1"/>
    <col min="5" max="7" width="16.73046875" bestFit="1" customWidth="1"/>
    <col min="9" max="9" width="15.06640625" bestFit="1" customWidth="1"/>
  </cols>
  <sheetData>
    <row r="1" spans="1:9" x14ac:dyDescent="0.45">
      <c r="A1" s="1" t="s">
        <v>211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</row>
    <row r="2" spans="1:9" x14ac:dyDescent="0.45">
      <c r="A2" s="1" t="s">
        <v>2</v>
      </c>
      <c r="B2" s="7">
        <v>21.753704484825501</v>
      </c>
      <c r="C2" s="1" t="s">
        <v>218</v>
      </c>
      <c r="D2" s="1" t="s">
        <v>219</v>
      </c>
      <c r="E2" s="7">
        <v>36.980876417404602</v>
      </c>
      <c r="F2" s="7">
        <v>30.323663879825901</v>
      </c>
      <c r="G2" s="7">
        <v>43.638088954983303</v>
      </c>
      <c r="I2" t="str">
        <f>_xlfn.CONCAT(ROUND(inext_coverage_projection[[#This Row],[qD]], 1), " (",ROUND(inext_coverage_projection[[#This Row],[qD.LCL]], 1),", ",ROUND(inext_coverage_projection[[#This Row],[qD.UCL]], 1),")")</f>
        <v>37 (30.3, 43.6)</v>
      </c>
    </row>
    <row r="3" spans="1:9" x14ac:dyDescent="0.45">
      <c r="A3" s="1" t="s">
        <v>3</v>
      </c>
      <c r="B3" s="7">
        <v>13.0315436534301</v>
      </c>
      <c r="C3" s="1" t="s">
        <v>218</v>
      </c>
      <c r="D3" s="1" t="s">
        <v>219</v>
      </c>
      <c r="E3" s="7">
        <v>35.162484591099798</v>
      </c>
      <c r="F3" s="7">
        <v>30.016463074788899</v>
      </c>
      <c r="G3" s="7">
        <v>40.3085061074107</v>
      </c>
      <c r="I3" t="str">
        <f>_xlfn.CONCAT(ROUND(inext_coverage_projection[[#This Row],[qD]], 1), " (",ROUND(inext_coverage_projection[[#This Row],[qD.LCL]], 1),", ",ROUND(inext_coverage_projection[[#This Row],[qD.UCL]], 1),")")</f>
        <v>35.2 (30, 40.3)</v>
      </c>
    </row>
    <row r="4" spans="1:9" x14ac:dyDescent="0.45">
      <c r="A4" s="1" t="s">
        <v>4</v>
      </c>
      <c r="B4" s="7">
        <v>13.2460525682962</v>
      </c>
      <c r="C4" s="1" t="s">
        <v>218</v>
      </c>
      <c r="D4" s="1" t="s">
        <v>219</v>
      </c>
      <c r="E4" s="7">
        <v>30.9475556378842</v>
      </c>
      <c r="F4" s="7">
        <v>23.312074573730399</v>
      </c>
      <c r="G4" s="7">
        <v>38.5830367020381</v>
      </c>
      <c r="I4" t="str">
        <f>_xlfn.CONCAT(ROUND(inext_coverage_projection[[#This Row],[qD]], 1), " (",ROUND(inext_coverage_projection[[#This Row],[qD.LCL]], 1),", ",ROUND(inext_coverage_projection[[#This Row],[qD.UCL]], 1),")")</f>
        <v>30.9 (23.3, 38.6)</v>
      </c>
    </row>
    <row r="5" spans="1:9" x14ac:dyDescent="0.45">
      <c r="A5" s="1" t="s">
        <v>220</v>
      </c>
      <c r="B5" s="7">
        <v>12.7725009884835</v>
      </c>
      <c r="C5" s="1" t="s">
        <v>218</v>
      </c>
      <c r="D5" s="1" t="s">
        <v>219</v>
      </c>
      <c r="E5" s="7">
        <v>48.2482198264901</v>
      </c>
      <c r="F5" s="7">
        <v>41.835588058244703</v>
      </c>
      <c r="G5" s="7">
        <v>54.660851594735597</v>
      </c>
      <c r="I5" t="str">
        <f>_xlfn.CONCAT(ROUND(inext_coverage_projection[[#This Row],[qD]], 1), " (",ROUND(inext_coverage_projection[[#This Row],[qD.LCL]], 1),", ",ROUND(inext_coverage_projection[[#This Row],[qD.UCL]], 1),")")</f>
        <v>48.2 (41.8, 54.7)</v>
      </c>
    </row>
    <row r="6" spans="1:9" x14ac:dyDescent="0.45">
      <c r="A6" s="1" t="s">
        <v>221</v>
      </c>
      <c r="B6" s="7">
        <v>12.2595035098353</v>
      </c>
      <c r="C6" s="1" t="s">
        <v>218</v>
      </c>
      <c r="D6" s="1" t="s">
        <v>219</v>
      </c>
      <c r="E6" s="7">
        <v>41.037273513745703</v>
      </c>
      <c r="F6" s="7">
        <v>33.810449665355797</v>
      </c>
      <c r="G6" s="7">
        <v>48.264097362135701</v>
      </c>
      <c r="I6" t="str">
        <f>_xlfn.CONCAT(ROUND(inext_coverage_projection[[#This Row],[qD]], 1), " (",ROUND(inext_coverage_projection[[#This Row],[qD.LCL]], 1),", ",ROUND(inext_coverage_projection[[#This Row],[qD.UCL]], 1),")")</f>
        <v>41 (33.8, 48.3)</v>
      </c>
    </row>
    <row r="7" spans="1:9" x14ac:dyDescent="0.45">
      <c r="A7" s="1" t="s">
        <v>222</v>
      </c>
      <c r="B7" s="7">
        <v>9.3976458163543093</v>
      </c>
      <c r="C7" s="1" t="s">
        <v>218</v>
      </c>
      <c r="D7" s="1" t="s">
        <v>219</v>
      </c>
      <c r="E7" s="7">
        <v>40.878440236505803</v>
      </c>
      <c r="F7" s="7">
        <v>35.0711695769362</v>
      </c>
      <c r="G7" s="7">
        <v>46.685710896075399</v>
      </c>
      <c r="I7" t="str">
        <f>_xlfn.CONCAT(ROUND(inext_coverage_projection[[#This Row],[qD]], 1), " (",ROUND(inext_coverage_projection[[#This Row],[qD.LCL]], 1),", ",ROUND(inext_coverage_projection[[#This Row],[qD.UCL]], 1),")")</f>
        <v>40.9 (35.1, 46.7)</v>
      </c>
    </row>
    <row r="8" spans="1:9" x14ac:dyDescent="0.45">
      <c r="A8" s="1" t="s">
        <v>223</v>
      </c>
      <c r="B8" s="7">
        <v>9.5860152032073707</v>
      </c>
      <c r="C8" s="1" t="s">
        <v>218</v>
      </c>
      <c r="D8" s="1" t="s">
        <v>219</v>
      </c>
      <c r="E8" s="7">
        <v>48.557051738861098</v>
      </c>
      <c r="F8" s="7">
        <v>42.119522852579699</v>
      </c>
      <c r="G8" s="7">
        <v>54.994580625142603</v>
      </c>
      <c r="I8" t="str">
        <f>_xlfn.CONCAT(ROUND(inext_coverage_projection[[#This Row],[qD]], 1), " (",ROUND(inext_coverage_projection[[#This Row],[qD.LCL]], 1),", ",ROUND(inext_coverage_projection[[#This Row],[qD.UCL]], 1),")")</f>
        <v>48.6 (42.1, 55)</v>
      </c>
    </row>
    <row r="9" spans="1:9" x14ac:dyDescent="0.45">
      <c r="A9" s="1" t="s">
        <v>224</v>
      </c>
      <c r="B9" s="7" t="s">
        <v>224</v>
      </c>
      <c r="C9" s="1" t="s">
        <v>224</v>
      </c>
      <c r="D9" s="1" t="s">
        <v>224</v>
      </c>
      <c r="E9" s="7" t="s">
        <v>224</v>
      </c>
      <c r="F9" s="7" t="s">
        <v>224</v>
      </c>
      <c r="G9" s="7" t="s">
        <v>224</v>
      </c>
    </row>
    <row r="10" spans="1:9" x14ac:dyDescent="0.45">
      <c r="A10" s="1" t="s">
        <v>2</v>
      </c>
      <c r="B10" s="7">
        <v>63.521417222944102</v>
      </c>
      <c r="C10" s="1" t="s">
        <v>225</v>
      </c>
      <c r="D10" s="1" t="s">
        <v>226</v>
      </c>
      <c r="E10" s="7">
        <v>56.159615384615499</v>
      </c>
      <c r="F10" s="7">
        <v>37.212928047538199</v>
      </c>
      <c r="G10" s="7">
        <v>75.106302721692799</v>
      </c>
      <c r="I10" t="str">
        <f>_xlfn.CONCAT(ROUND(inext_coverage_projection[[#This Row],[qD]], 1), " (",ROUND(inext_coverage_projection[[#This Row],[qD.LCL]], 1),", ",ROUND(inext_coverage_projection[[#This Row],[qD.UCL]], 1),")")</f>
        <v>56.2 (37.2, 75.1)</v>
      </c>
    </row>
    <row r="11" spans="1:9" x14ac:dyDescent="0.45">
      <c r="A11" s="1" t="s">
        <v>3</v>
      </c>
      <c r="B11" s="7">
        <v>45.5134073339648</v>
      </c>
      <c r="C11" s="1" t="s">
        <v>225</v>
      </c>
      <c r="D11" s="1" t="s">
        <v>226</v>
      </c>
      <c r="E11" s="7">
        <v>59.181818181818102</v>
      </c>
      <c r="F11" s="7">
        <v>45.380311700455501</v>
      </c>
      <c r="G11" s="7">
        <v>72.983324663180795</v>
      </c>
      <c r="I11" t="str">
        <f>_xlfn.CONCAT(ROUND(inext_coverage_projection[[#This Row],[qD]], 1), " (",ROUND(inext_coverage_projection[[#This Row],[qD.LCL]], 1),", ",ROUND(inext_coverage_projection[[#This Row],[qD.UCL]], 1),")")</f>
        <v>59.2 (45.4, 73)</v>
      </c>
    </row>
    <row r="12" spans="1:9" x14ac:dyDescent="0.45">
      <c r="A12" s="1" t="s">
        <v>4</v>
      </c>
      <c r="B12" s="7">
        <v>68.973744880732895</v>
      </c>
      <c r="C12" s="1" t="s">
        <v>225</v>
      </c>
      <c r="D12" s="1" t="s">
        <v>226</v>
      </c>
      <c r="E12" s="7">
        <v>67.024193548387203</v>
      </c>
      <c r="F12" s="7">
        <v>39.710078921623499</v>
      </c>
      <c r="G12" s="7">
        <v>94.3383081751509</v>
      </c>
      <c r="I12" t="str">
        <f>_xlfn.CONCAT(ROUND(inext_coverage_projection[[#This Row],[qD]], 1), " (",ROUND(inext_coverage_projection[[#This Row],[qD.LCL]], 1),", ",ROUND(inext_coverage_projection[[#This Row],[qD.UCL]], 1),")")</f>
        <v>67 (39.7, 94.3)</v>
      </c>
    </row>
    <row r="13" spans="1:9" x14ac:dyDescent="0.45">
      <c r="A13" s="1" t="s">
        <v>220</v>
      </c>
      <c r="B13" s="7">
        <v>45.308311399897804</v>
      </c>
      <c r="C13" s="1" t="s">
        <v>225</v>
      </c>
      <c r="D13" s="1" t="s">
        <v>226</v>
      </c>
      <c r="E13" s="7">
        <v>82.094516594516605</v>
      </c>
      <c r="F13" s="7">
        <v>67.213114842805794</v>
      </c>
      <c r="G13" s="7">
        <v>96.975918346227502</v>
      </c>
      <c r="I13" t="str">
        <f>_xlfn.CONCAT(ROUND(inext_coverage_projection[[#This Row],[qD]], 1), " (",ROUND(inext_coverage_projection[[#This Row],[qD.LCL]], 1),", ",ROUND(inext_coverage_projection[[#This Row],[qD.UCL]], 1),")")</f>
        <v>82.1 (67.2, 97)</v>
      </c>
    </row>
    <row r="14" spans="1:9" x14ac:dyDescent="0.45">
      <c r="A14" s="1" t="s">
        <v>221</v>
      </c>
      <c r="B14" s="7">
        <v>56.901118234920297</v>
      </c>
      <c r="C14" s="1" t="s">
        <v>225</v>
      </c>
      <c r="D14" s="1" t="s">
        <v>226</v>
      </c>
      <c r="E14" s="7">
        <v>81.854838709677395</v>
      </c>
      <c r="F14" s="7">
        <v>61.941980026016303</v>
      </c>
      <c r="G14" s="7">
        <v>101.76769739333901</v>
      </c>
      <c r="I14" t="str">
        <f>_xlfn.CONCAT(ROUND(inext_coverage_projection[[#This Row],[qD]], 1), " (",ROUND(inext_coverage_projection[[#This Row],[qD.LCL]], 1),", ",ROUND(inext_coverage_projection[[#This Row],[qD.UCL]], 1),")")</f>
        <v>81.9 (61.9, 101.8)</v>
      </c>
    </row>
    <row r="15" spans="1:9" x14ac:dyDescent="0.45">
      <c r="A15" s="1" t="s">
        <v>222</v>
      </c>
      <c r="B15" s="7">
        <v>42.272545971982403</v>
      </c>
      <c r="C15" s="1" t="s">
        <v>225</v>
      </c>
      <c r="D15" s="1" t="s">
        <v>226</v>
      </c>
      <c r="E15" s="7">
        <v>78.911111111111197</v>
      </c>
      <c r="F15" s="7">
        <v>63.077450799183701</v>
      </c>
      <c r="G15" s="7">
        <v>94.7447714230386</v>
      </c>
      <c r="I15" t="str">
        <f>_xlfn.CONCAT(ROUND(inext_coverage_projection[[#This Row],[qD]], 1), " (",ROUND(inext_coverage_projection[[#This Row],[qD.LCL]], 1),", ",ROUND(inext_coverage_projection[[#This Row],[qD.UCL]], 1),")")</f>
        <v>78.9 (63.1, 94.7)</v>
      </c>
    </row>
    <row r="16" spans="1:9" x14ac:dyDescent="0.45">
      <c r="A16" s="1" t="s">
        <v>223</v>
      </c>
      <c r="B16" s="7">
        <v>43.744626077695102</v>
      </c>
      <c r="C16" s="1" t="s">
        <v>225</v>
      </c>
      <c r="D16" s="1" t="s">
        <v>226</v>
      </c>
      <c r="E16" s="7">
        <v>93.325000000000202</v>
      </c>
      <c r="F16" s="7">
        <v>76.411446727572894</v>
      </c>
      <c r="G16" s="7">
        <v>110.23855327242801</v>
      </c>
      <c r="I16" t="str">
        <f>_xlfn.CONCAT(ROUND(inext_coverage_projection[[#This Row],[qD]], 1), " (",ROUND(inext_coverage_projection[[#This Row],[qD.LCL]], 1),", ",ROUND(inext_coverage_projection[[#This Row],[qD.UCL]], 1),")")</f>
        <v>93.3 (76.4, 110.2)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>
      <selection activeCell="C15" sqref="C15"/>
    </sheetView>
  </sheetViews>
  <sheetFormatPr defaultRowHeight="14.25" x14ac:dyDescent="0.45"/>
  <cols>
    <col min="1" max="1" width="24.73046875" bestFit="1" customWidth="1"/>
    <col min="2" max="3" width="17.73046875" bestFit="1" customWidth="1"/>
    <col min="4" max="4" width="25.73046875" bestFit="1" customWidth="1"/>
  </cols>
  <sheetData>
    <row r="1" spans="1:4" x14ac:dyDescent="0.45">
      <c r="A1" s="1" t="s">
        <v>211</v>
      </c>
      <c r="B1" s="1" t="s">
        <v>227</v>
      </c>
      <c r="C1" s="1" t="s">
        <v>228</v>
      </c>
      <c r="D1" s="1" t="s">
        <v>229</v>
      </c>
    </row>
    <row r="2" spans="1:4" x14ac:dyDescent="0.45">
      <c r="A2" s="1" t="s">
        <v>2</v>
      </c>
      <c r="B2" s="1">
        <v>34</v>
      </c>
      <c r="C2" s="1">
        <v>46</v>
      </c>
      <c r="D2" s="6">
        <v>0.84360000000000002</v>
      </c>
    </row>
    <row r="3" spans="1:4" x14ac:dyDescent="0.45">
      <c r="A3" s="1" t="s">
        <v>3</v>
      </c>
      <c r="B3" s="1">
        <v>33</v>
      </c>
      <c r="C3" s="1">
        <v>54</v>
      </c>
      <c r="D3" s="6">
        <v>0.90500000000000003</v>
      </c>
    </row>
    <row r="4" spans="1:4" x14ac:dyDescent="0.45">
      <c r="A4" s="1" t="s">
        <v>4</v>
      </c>
      <c r="B4" s="1">
        <v>31</v>
      </c>
      <c r="C4" s="1">
        <v>49</v>
      </c>
      <c r="D4" s="6">
        <v>0.85850000000000004</v>
      </c>
    </row>
    <row r="5" spans="1:4" x14ac:dyDescent="0.45">
      <c r="A5" s="1" t="s">
        <v>220</v>
      </c>
      <c r="B5" s="1">
        <v>33</v>
      </c>
      <c r="C5" s="1">
        <v>75</v>
      </c>
      <c r="D5" s="6">
        <v>0.9083</v>
      </c>
    </row>
    <row r="6" spans="1:4" x14ac:dyDescent="0.45">
      <c r="A6" s="1" t="s">
        <v>221</v>
      </c>
      <c r="B6" s="1">
        <v>31</v>
      </c>
      <c r="C6" s="1">
        <v>66</v>
      </c>
      <c r="D6" s="6">
        <v>0.87970000000000004</v>
      </c>
    </row>
    <row r="7" spans="1:4" x14ac:dyDescent="0.45">
      <c r="A7" s="1" t="s">
        <v>222</v>
      </c>
      <c r="B7" s="1">
        <v>30</v>
      </c>
      <c r="C7" s="1">
        <v>71</v>
      </c>
      <c r="D7" s="6">
        <v>0.91139999999999999</v>
      </c>
    </row>
    <row r="8" spans="1:4" x14ac:dyDescent="0.45">
      <c r="A8" s="1" t="s">
        <v>223</v>
      </c>
      <c r="B8" s="1">
        <v>30</v>
      </c>
      <c r="C8" s="1">
        <v>83</v>
      </c>
      <c r="D8" s="6">
        <v>0.91269999999999996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6"/>
  <sheetViews>
    <sheetView workbookViewId="0">
      <selection activeCell="D29" sqref="D29"/>
    </sheetView>
  </sheetViews>
  <sheetFormatPr defaultRowHeight="14.25" x14ac:dyDescent="0.45"/>
  <cols>
    <col min="1" max="1" width="24.73046875" bestFit="1" customWidth="1"/>
    <col min="2" max="2" width="17.73046875" bestFit="1" customWidth="1"/>
    <col min="3" max="7" width="16.73046875" bestFit="1" customWidth="1"/>
  </cols>
  <sheetData>
    <row r="1" spans="1:7" x14ac:dyDescent="0.45">
      <c r="A1" s="1" t="s">
        <v>211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</row>
    <row r="2" spans="1:7" x14ac:dyDescent="0.45">
      <c r="A2" s="1" t="s">
        <v>2</v>
      </c>
      <c r="B2" s="1" t="s">
        <v>236</v>
      </c>
      <c r="C2" s="8">
        <v>46</v>
      </c>
      <c r="D2" s="7">
        <v>60.932126696832597</v>
      </c>
      <c r="E2" s="7">
        <v>14.2280648751677</v>
      </c>
      <c r="F2" s="7">
        <v>46</v>
      </c>
      <c r="G2" s="7">
        <v>88.818621421860598</v>
      </c>
    </row>
    <row r="3" spans="1:7" x14ac:dyDescent="0.45">
      <c r="A3" s="1" t="s">
        <v>3</v>
      </c>
      <c r="B3" s="1" t="s">
        <v>236</v>
      </c>
      <c r="C3" s="8">
        <v>54</v>
      </c>
      <c r="D3" s="7">
        <v>64.939393939393895</v>
      </c>
      <c r="E3" s="7">
        <v>10.026322626812201</v>
      </c>
      <c r="F3" s="7">
        <v>54</v>
      </c>
      <c r="G3" s="7">
        <v>84.590625185324996</v>
      </c>
    </row>
    <row r="4" spans="1:7" x14ac:dyDescent="0.45">
      <c r="A4" s="1" t="s">
        <v>4</v>
      </c>
      <c r="B4" s="1" t="s">
        <v>236</v>
      </c>
      <c r="C4" s="8">
        <v>49</v>
      </c>
      <c r="D4" s="7">
        <v>76.870967741935502</v>
      </c>
      <c r="E4" s="7">
        <v>19.0480004386324</v>
      </c>
      <c r="F4" s="7">
        <v>49</v>
      </c>
      <c r="G4" s="7">
        <v>114.204362579158</v>
      </c>
    </row>
    <row r="5" spans="1:7" x14ac:dyDescent="0.45">
      <c r="A5" s="1" t="s">
        <v>220</v>
      </c>
      <c r="B5" s="1" t="s">
        <v>236</v>
      </c>
      <c r="C5" s="8">
        <v>75</v>
      </c>
      <c r="D5" s="7">
        <v>90.607503607503602</v>
      </c>
      <c r="E5" s="7">
        <v>11.0974701780692</v>
      </c>
      <c r="F5" s="7">
        <v>75</v>
      </c>
      <c r="G5" s="7">
        <v>112.358145476027</v>
      </c>
    </row>
    <row r="6" spans="1:7" x14ac:dyDescent="0.45">
      <c r="A6" s="1" t="s">
        <v>221</v>
      </c>
      <c r="B6" s="1" t="s">
        <v>236</v>
      </c>
      <c r="C6" s="8">
        <v>66</v>
      </c>
      <c r="D6" s="7">
        <v>93.129032258064498</v>
      </c>
      <c r="E6" s="7">
        <v>15.2793605003406</v>
      </c>
      <c r="F6" s="7">
        <v>66</v>
      </c>
      <c r="G6" s="7">
        <v>123.076028545536</v>
      </c>
    </row>
    <row r="7" spans="1:7" x14ac:dyDescent="0.45">
      <c r="A7" s="1" t="s">
        <v>222</v>
      </c>
      <c r="B7" s="1" t="s">
        <v>236</v>
      </c>
      <c r="C7" s="8">
        <v>71</v>
      </c>
      <c r="D7" s="7">
        <v>89.151851851851902</v>
      </c>
      <c r="E7" s="7">
        <v>11.266425979461101</v>
      </c>
      <c r="F7" s="7">
        <v>71</v>
      </c>
      <c r="G7" s="7">
        <v>111.233641006082</v>
      </c>
    </row>
    <row r="8" spans="1:7" x14ac:dyDescent="0.45">
      <c r="A8" s="1" t="s">
        <v>223</v>
      </c>
      <c r="B8" s="1" t="s">
        <v>236</v>
      </c>
      <c r="C8" s="8">
        <v>83</v>
      </c>
      <c r="D8" s="7">
        <v>107.166666666667</v>
      </c>
      <c r="E8" s="7">
        <v>12.6144493836312</v>
      </c>
      <c r="F8" s="7">
        <v>83</v>
      </c>
      <c r="G8" s="7">
        <v>131.89053314338699</v>
      </c>
    </row>
    <row r="9" spans="1:7" x14ac:dyDescent="0.45">
      <c r="A9" s="1" t="s">
        <v>224</v>
      </c>
      <c r="B9" s="1" t="s">
        <v>224</v>
      </c>
      <c r="C9" s="7" t="s">
        <v>224</v>
      </c>
      <c r="D9" s="7" t="s">
        <v>224</v>
      </c>
      <c r="E9" s="7" t="s">
        <v>224</v>
      </c>
      <c r="F9" s="7" t="s">
        <v>224</v>
      </c>
      <c r="G9" s="7" t="s">
        <v>224</v>
      </c>
    </row>
    <row r="10" spans="1:7" x14ac:dyDescent="0.45">
      <c r="A10" s="1" t="s">
        <v>2</v>
      </c>
      <c r="B10" s="1" t="s">
        <v>237</v>
      </c>
      <c r="C10" s="7">
        <v>31.047542893749601</v>
      </c>
      <c r="D10" s="7">
        <v>40.693325094944001</v>
      </c>
      <c r="E10" s="7">
        <v>3.6264701565154298</v>
      </c>
      <c r="F10" s="7">
        <v>33.585574197164497</v>
      </c>
      <c r="G10" s="7">
        <v>47.801075992723597</v>
      </c>
    </row>
    <row r="11" spans="1:7" x14ac:dyDescent="0.45">
      <c r="A11" s="1" t="s">
        <v>3</v>
      </c>
      <c r="B11" s="1" t="s">
        <v>237</v>
      </c>
      <c r="C11" s="7">
        <v>33.1100464426221</v>
      </c>
      <c r="D11" s="7">
        <v>39.6432279572646</v>
      </c>
      <c r="E11" s="7">
        <v>2.69311296334459</v>
      </c>
      <c r="F11" s="7">
        <v>34.364823542811301</v>
      </c>
      <c r="G11" s="7">
        <v>44.921632371717998</v>
      </c>
    </row>
    <row r="12" spans="1:7" x14ac:dyDescent="0.45">
      <c r="A12" s="1" t="s">
        <v>4</v>
      </c>
      <c r="B12" s="1" t="s">
        <v>237</v>
      </c>
      <c r="C12" s="7">
        <v>28.108168331891999</v>
      </c>
      <c r="D12" s="7">
        <v>35.869484564525401</v>
      </c>
      <c r="E12" s="7">
        <v>2.96747043628018</v>
      </c>
      <c r="F12" s="7">
        <v>30.053349384228898</v>
      </c>
      <c r="G12" s="7">
        <v>41.685619744821899</v>
      </c>
    </row>
    <row r="13" spans="1:7" x14ac:dyDescent="0.45">
      <c r="A13" s="1" t="s">
        <v>220</v>
      </c>
      <c r="B13" s="1" t="s">
        <v>237</v>
      </c>
      <c r="C13" s="7">
        <v>45.639941035194298</v>
      </c>
      <c r="D13" s="7">
        <v>54.436710475544501</v>
      </c>
      <c r="E13" s="7">
        <v>3.58346338147371</v>
      </c>
      <c r="F13" s="7">
        <v>47.413251307937898</v>
      </c>
      <c r="G13" s="7">
        <v>61.460169643151097</v>
      </c>
    </row>
    <row r="14" spans="1:7" x14ac:dyDescent="0.45">
      <c r="A14" s="1" t="s">
        <v>221</v>
      </c>
      <c r="B14" s="1" t="s">
        <v>237</v>
      </c>
      <c r="C14" s="7">
        <v>37.407185022223103</v>
      </c>
      <c r="D14" s="7">
        <v>46.1743157358313</v>
      </c>
      <c r="E14" s="7">
        <v>3.61714316644523</v>
      </c>
      <c r="F14" s="7">
        <v>39.084845402673501</v>
      </c>
      <c r="G14" s="7">
        <v>53.263786068989099</v>
      </c>
    </row>
    <row r="15" spans="1:7" x14ac:dyDescent="0.45">
      <c r="A15" s="1" t="s">
        <v>222</v>
      </c>
      <c r="B15" s="1" t="s">
        <v>237</v>
      </c>
      <c r="C15" s="7">
        <v>41.3108935404018</v>
      </c>
      <c r="D15" s="7">
        <v>48.706545396340097</v>
      </c>
      <c r="E15" s="7">
        <v>3.08369269610712</v>
      </c>
      <c r="F15" s="7">
        <v>42.662618772580899</v>
      </c>
      <c r="G15" s="7">
        <v>54.750472020099302</v>
      </c>
    </row>
    <row r="16" spans="1:7" x14ac:dyDescent="0.45">
      <c r="A16" s="1" t="s">
        <v>223</v>
      </c>
      <c r="B16" s="1" t="s">
        <v>237</v>
      </c>
      <c r="C16" s="7">
        <v>47.872678143976401</v>
      </c>
      <c r="D16" s="7">
        <v>56.5804120791394</v>
      </c>
      <c r="E16" s="7">
        <v>3.07642231936576</v>
      </c>
      <c r="F16" s="7">
        <v>50.550735131947299</v>
      </c>
      <c r="G16" s="7">
        <v>62.610089026331501</v>
      </c>
    </row>
    <row r="17" spans="1:7" x14ac:dyDescent="0.45">
      <c r="A17" s="1" t="s">
        <v>224</v>
      </c>
      <c r="B17" s="1" t="s">
        <v>224</v>
      </c>
      <c r="C17" s="7" t="s">
        <v>224</v>
      </c>
      <c r="D17" s="7" t="s">
        <v>224</v>
      </c>
      <c r="E17" s="7" t="s">
        <v>224</v>
      </c>
      <c r="F17" s="7" t="s">
        <v>224</v>
      </c>
      <c r="G17" s="7" t="s">
        <v>224</v>
      </c>
    </row>
    <row r="18" spans="1:7" x14ac:dyDescent="0.45">
      <c r="A18" s="1" t="s">
        <v>2</v>
      </c>
      <c r="B18" s="1" t="s">
        <v>238</v>
      </c>
      <c r="C18" s="7">
        <v>20.3620457604307</v>
      </c>
      <c r="D18" s="7">
        <v>23.6839142439187</v>
      </c>
      <c r="E18" s="7">
        <v>2.8932561583613898</v>
      </c>
      <c r="F18" s="7">
        <v>18.013236375481601</v>
      </c>
      <c r="G18" s="7">
        <v>29.3545921123557</v>
      </c>
    </row>
    <row r="19" spans="1:7" x14ac:dyDescent="0.45">
      <c r="A19" s="1" t="s">
        <v>3</v>
      </c>
      <c r="B19" s="1" t="s">
        <v>238</v>
      </c>
      <c r="C19" s="7">
        <v>20.8189158016148</v>
      </c>
      <c r="D19" s="7">
        <v>22.672314788193798</v>
      </c>
      <c r="E19" s="7">
        <v>2.0956759088847301</v>
      </c>
      <c r="F19" s="7">
        <v>18.5648654835115</v>
      </c>
      <c r="G19" s="7">
        <v>26.779764092876199</v>
      </c>
    </row>
    <row r="20" spans="1:7" x14ac:dyDescent="0.45">
      <c r="A20" s="1" t="s">
        <v>4</v>
      </c>
      <c r="B20" s="1" t="s">
        <v>238</v>
      </c>
      <c r="C20" s="7">
        <v>18.609022556391</v>
      </c>
      <c r="D20" s="7">
        <v>20.297973856339102</v>
      </c>
      <c r="E20" s="7">
        <v>1.92607564522122</v>
      </c>
      <c r="F20" s="7">
        <v>16.522934960205799</v>
      </c>
      <c r="G20" s="7">
        <v>24.073012752472501</v>
      </c>
    </row>
    <row r="21" spans="1:7" x14ac:dyDescent="0.45">
      <c r="A21" s="1"/>
      <c r="B21" s="1"/>
      <c r="C21" s="7"/>
      <c r="D21" s="7"/>
      <c r="E21" s="7"/>
      <c r="F21" s="7"/>
      <c r="G21" s="7"/>
    </row>
    <row r="22" spans="1:7" x14ac:dyDescent="0.45">
      <c r="A22" s="1" t="s">
        <v>220</v>
      </c>
      <c r="B22" s="1" t="s">
        <v>238</v>
      </c>
      <c r="C22" s="7">
        <v>29.418886198547199</v>
      </c>
      <c r="D22" s="7">
        <v>32.015811604186702</v>
      </c>
      <c r="E22" s="7">
        <v>2.6088405067429798</v>
      </c>
      <c r="F22" s="7">
        <v>26.902578169561199</v>
      </c>
      <c r="G22" s="7">
        <v>37.129045038812102</v>
      </c>
    </row>
    <row r="23" spans="1:7" x14ac:dyDescent="0.45">
      <c r="A23" s="1" t="s">
        <v>221</v>
      </c>
      <c r="B23" s="1" t="s">
        <v>238</v>
      </c>
      <c r="C23" s="7">
        <v>23.8005260850504</v>
      </c>
      <c r="D23" s="7">
        <v>25.6531937728519</v>
      </c>
      <c r="E23" s="7">
        <v>2.1843511128666901</v>
      </c>
      <c r="F23" s="7">
        <v>21.371944262043201</v>
      </c>
      <c r="G23" s="7">
        <v>29.934443283660599</v>
      </c>
    </row>
    <row r="24" spans="1:7" x14ac:dyDescent="0.45">
      <c r="A24" s="1" t="s">
        <v>222</v>
      </c>
      <c r="B24" s="1" t="s">
        <v>238</v>
      </c>
      <c r="C24" s="7">
        <v>27.260083449235001</v>
      </c>
      <c r="D24" s="7">
        <v>29.193634616522399</v>
      </c>
      <c r="E24" s="7">
        <v>2.0205517571014999</v>
      </c>
      <c r="F24" s="7">
        <v>25.233425943704301</v>
      </c>
      <c r="G24" s="7">
        <v>33.153843289340401</v>
      </c>
    </row>
    <row r="25" spans="1:7" x14ac:dyDescent="0.45">
      <c r="A25" s="1"/>
      <c r="B25" s="1"/>
      <c r="C25" s="7"/>
      <c r="D25" s="7"/>
      <c r="E25" s="7"/>
      <c r="F25" s="7"/>
      <c r="G25" s="7"/>
    </row>
    <row r="26" spans="1:7" x14ac:dyDescent="0.45">
      <c r="A26" s="1" t="s">
        <v>223</v>
      </c>
      <c r="B26" s="1" t="s">
        <v>238</v>
      </c>
      <c r="C26" s="7">
        <v>31.167716084716702</v>
      </c>
      <c r="D26" s="7">
        <v>33.271174964769401</v>
      </c>
      <c r="E26" s="7">
        <v>1.9306300529505001</v>
      </c>
      <c r="F26" s="7">
        <v>29.487209593515701</v>
      </c>
      <c r="G26" s="7">
        <v>37.055140336023001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"/>
  <sheetViews>
    <sheetView workbookViewId="0">
      <selection activeCell="D2" sqref="D2"/>
    </sheetView>
  </sheetViews>
  <sheetFormatPr defaultRowHeight="14.25" x14ac:dyDescent="0.45"/>
  <cols>
    <col min="1" max="1" width="24.73046875" bestFit="1" customWidth="1"/>
    <col min="2" max="3" width="15.73046875" bestFit="1" customWidth="1"/>
    <col min="4" max="4" width="16.73046875" bestFit="1" customWidth="1"/>
    <col min="5" max="6" width="17.73046875" bestFit="1" customWidth="1"/>
    <col min="7" max="8" width="16.73046875" bestFit="1" customWidth="1"/>
    <col min="9" max="10" width="22.73046875" bestFit="1" customWidth="1"/>
    <col min="11" max="13" width="16.73046875" bestFit="1" customWidth="1"/>
    <col min="14" max="14" width="15.73046875" bestFit="1" customWidth="1"/>
  </cols>
  <sheetData>
    <row r="1" spans="1:14" x14ac:dyDescent="0.45">
      <c r="A1" s="1" t="s">
        <v>239</v>
      </c>
      <c r="B1" s="1" t="s">
        <v>240</v>
      </c>
      <c r="C1" s="1" t="s">
        <v>201</v>
      </c>
      <c r="D1" s="1" t="s">
        <v>203</v>
      </c>
      <c r="E1" s="1" t="s">
        <v>204</v>
      </c>
      <c r="F1" s="1" t="s">
        <v>205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</row>
    <row r="2" spans="1:14" x14ac:dyDescent="0.45">
      <c r="A2" s="1" t="s">
        <v>2</v>
      </c>
      <c r="B2" s="1">
        <v>34</v>
      </c>
      <c r="C2" s="1">
        <v>404</v>
      </c>
      <c r="D2" s="1">
        <v>46</v>
      </c>
      <c r="E2" s="1">
        <v>31.047542893749601</v>
      </c>
      <c r="F2" s="1">
        <v>20.3620457604307</v>
      </c>
      <c r="G2" s="1">
        <v>11.882352941176499</v>
      </c>
      <c r="H2" s="1">
        <v>3.6176470588235299</v>
      </c>
      <c r="I2" s="1">
        <v>2.75124611354045</v>
      </c>
      <c r="J2" s="1">
        <v>2.3499619508810601</v>
      </c>
      <c r="K2" s="1">
        <v>346.72735294117598</v>
      </c>
      <c r="L2" s="1">
        <v>6.0923202614379104</v>
      </c>
      <c r="M2" s="1">
        <v>19.382352941176499</v>
      </c>
      <c r="N2" s="1" t="s">
        <v>249</v>
      </c>
    </row>
    <row r="3" spans="1:14" x14ac:dyDescent="0.45">
      <c r="A3" s="1" t="s">
        <v>3</v>
      </c>
      <c r="B3" s="1">
        <v>33</v>
      </c>
      <c r="C3" s="1">
        <v>761</v>
      </c>
      <c r="D3" s="1">
        <v>54</v>
      </c>
      <c r="E3" s="1">
        <v>33.1100464426221</v>
      </c>
      <c r="F3" s="1">
        <v>20.8189158016148</v>
      </c>
      <c r="G3" s="1">
        <v>23.060606060606101</v>
      </c>
      <c r="H3" s="1">
        <v>5.7575757575757596</v>
      </c>
      <c r="I3" s="1">
        <v>3.9042488357399598</v>
      </c>
      <c r="J3" s="1">
        <v>3.1371282462597998</v>
      </c>
      <c r="K3" s="1">
        <v>846.82521212121196</v>
      </c>
      <c r="L3" s="1">
        <v>22.066606278598101</v>
      </c>
      <c r="M3" s="1">
        <v>14.267171717171699</v>
      </c>
      <c r="N3" s="1" t="s">
        <v>250</v>
      </c>
    </row>
    <row r="4" spans="1:14" x14ac:dyDescent="0.45">
      <c r="A4" s="1" t="s">
        <v>4</v>
      </c>
      <c r="B4" s="1">
        <v>31</v>
      </c>
      <c r="C4" s="1">
        <v>3207</v>
      </c>
      <c r="D4" s="1">
        <v>49</v>
      </c>
      <c r="E4" s="1">
        <v>28.108168331891999</v>
      </c>
      <c r="F4" s="1">
        <v>18.609022556391</v>
      </c>
      <c r="G4" s="1">
        <v>103.45161290322601</v>
      </c>
      <c r="H4" s="1">
        <v>5.32258064516129</v>
      </c>
      <c r="I4" s="1">
        <v>2.9556099713923798</v>
      </c>
      <c r="J4" s="1">
        <v>2.4222415694578001</v>
      </c>
      <c r="K4" s="1">
        <v>315.32372043010798</v>
      </c>
      <c r="L4" s="1">
        <v>147.04838709677401</v>
      </c>
      <c r="M4" s="1">
        <v>1.3548387096774199</v>
      </c>
      <c r="N4" s="1" t="s">
        <v>251</v>
      </c>
    </row>
    <row r="5" spans="1:14" x14ac:dyDescent="0.45">
      <c r="A5" s="1" t="s">
        <v>220</v>
      </c>
      <c r="B5" s="1">
        <v>33</v>
      </c>
      <c r="C5" s="1">
        <v>1165</v>
      </c>
      <c r="D5" s="1">
        <v>75</v>
      </c>
      <c r="E5" s="1">
        <v>40.584466651014097</v>
      </c>
      <c r="F5" s="1">
        <v>23.155046088395199</v>
      </c>
      <c r="G5" s="1" t="s">
        <v>224</v>
      </c>
      <c r="H5" s="1" t="s">
        <v>224</v>
      </c>
      <c r="I5" s="1" t="s">
        <v>224</v>
      </c>
      <c r="J5" s="1" t="s">
        <v>224</v>
      </c>
      <c r="K5" s="1" t="s">
        <v>224</v>
      </c>
      <c r="L5" s="1" t="s">
        <v>224</v>
      </c>
      <c r="M5" s="1" t="s">
        <v>224</v>
      </c>
      <c r="N5" s="1" t="s">
        <v>224</v>
      </c>
    </row>
    <row r="6" spans="1:14" x14ac:dyDescent="0.45">
      <c r="A6" s="1" t="s">
        <v>221</v>
      </c>
      <c r="B6" s="1">
        <v>31</v>
      </c>
      <c r="C6" s="1">
        <v>3611</v>
      </c>
      <c r="D6" s="1">
        <v>68</v>
      </c>
      <c r="E6" s="1">
        <v>35.170535146026097</v>
      </c>
      <c r="F6" s="1">
        <v>20.767150726089099</v>
      </c>
      <c r="G6" s="1" t="s">
        <v>224</v>
      </c>
      <c r="H6" s="1" t="s">
        <v>224</v>
      </c>
      <c r="I6" s="1" t="s">
        <v>224</v>
      </c>
      <c r="J6" s="1" t="s">
        <v>224</v>
      </c>
      <c r="K6" s="1" t="s">
        <v>224</v>
      </c>
      <c r="L6" s="1" t="s">
        <v>224</v>
      </c>
      <c r="M6" s="1" t="s">
        <v>224</v>
      </c>
      <c r="N6" s="1" t="s">
        <v>224</v>
      </c>
    </row>
    <row r="7" spans="1:14" x14ac:dyDescent="0.45">
      <c r="A7" s="1" t="s">
        <v>222</v>
      </c>
      <c r="B7" s="1">
        <v>30</v>
      </c>
      <c r="C7" s="1">
        <v>3968</v>
      </c>
      <c r="D7" s="1">
        <v>74</v>
      </c>
      <c r="E7" s="1">
        <v>37.522010683297502</v>
      </c>
      <c r="F7" s="1">
        <v>22.412413302507598</v>
      </c>
      <c r="G7" s="1" t="s">
        <v>224</v>
      </c>
      <c r="H7" s="1" t="s">
        <v>224</v>
      </c>
      <c r="I7" s="1" t="s">
        <v>224</v>
      </c>
      <c r="J7" s="1" t="s">
        <v>224</v>
      </c>
      <c r="K7" s="1" t="s">
        <v>224</v>
      </c>
      <c r="L7" s="1" t="s">
        <v>224</v>
      </c>
      <c r="M7" s="1" t="s">
        <v>224</v>
      </c>
      <c r="N7" s="1" t="s">
        <v>224</v>
      </c>
    </row>
    <row r="8" spans="1:14" x14ac:dyDescent="0.45">
      <c r="A8" s="1" t="s">
        <v>223</v>
      </c>
      <c r="B8" s="1">
        <v>30</v>
      </c>
      <c r="C8" s="1">
        <v>4372</v>
      </c>
      <c r="D8" s="1">
        <v>87</v>
      </c>
      <c r="E8" s="1">
        <v>41.129418516071901</v>
      </c>
      <c r="F8" s="1">
        <v>23.0605571255551</v>
      </c>
      <c r="G8" s="1">
        <v>44.612244897959201</v>
      </c>
      <c r="H8" s="1">
        <v>4.87755102040816</v>
      </c>
      <c r="I8" s="1">
        <v>3.2041478423771199</v>
      </c>
      <c r="J8" s="1">
        <v>2.6378921133644999</v>
      </c>
      <c r="K8" s="1">
        <v>505.19385034013601</v>
      </c>
      <c r="L8" s="1" t="s">
        <v>224</v>
      </c>
      <c r="M8" s="1" t="s">
        <v>224</v>
      </c>
      <c r="N8" s="1" t="s">
        <v>224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workbookViewId="0"/>
  </sheetViews>
  <sheetFormatPr defaultRowHeight="14.25" x14ac:dyDescent="0.45"/>
  <cols>
    <col min="1" max="1" width="15.73046875" bestFit="1" customWidth="1"/>
    <col min="2" max="2" width="15" bestFit="1" customWidth="1"/>
    <col min="3" max="3" width="15.73046875" bestFit="1" customWidth="1"/>
    <col min="4" max="5" width="15" bestFit="1" customWidth="1"/>
  </cols>
  <sheetData>
    <row r="1" spans="1:5" x14ac:dyDescent="0.45">
      <c r="A1" s="1" t="s">
        <v>179</v>
      </c>
      <c r="B1" s="1" t="s">
        <v>2</v>
      </c>
      <c r="C1" s="1" t="s">
        <v>3</v>
      </c>
      <c r="D1" s="1" t="s">
        <v>4</v>
      </c>
      <c r="E1" s="1" t="s">
        <v>252</v>
      </c>
    </row>
    <row r="2" spans="1:5" x14ac:dyDescent="0.45">
      <c r="A2" s="1" t="s">
        <v>192</v>
      </c>
      <c r="B2" s="1">
        <v>134</v>
      </c>
      <c r="C2" s="1">
        <v>57</v>
      </c>
      <c r="D2" s="1">
        <v>126</v>
      </c>
      <c r="E2" s="1">
        <v>317</v>
      </c>
    </row>
    <row r="3" spans="1:5" x14ac:dyDescent="0.45">
      <c r="A3" s="1" t="s">
        <v>194</v>
      </c>
      <c r="B3" s="1">
        <v>32</v>
      </c>
      <c r="C3" s="1">
        <v>100</v>
      </c>
      <c r="D3" s="1">
        <v>342</v>
      </c>
      <c r="E3" s="1">
        <v>474</v>
      </c>
    </row>
    <row r="4" spans="1:5" x14ac:dyDescent="0.45">
      <c r="A4" s="1" t="s">
        <v>196</v>
      </c>
      <c r="B4" s="1">
        <v>68</v>
      </c>
      <c r="C4" s="1">
        <v>159</v>
      </c>
      <c r="D4" s="1">
        <v>1004</v>
      </c>
      <c r="E4" s="1">
        <v>1231</v>
      </c>
    </row>
    <row r="5" spans="1:5" x14ac:dyDescent="0.45">
      <c r="A5" s="1" t="s">
        <v>197</v>
      </c>
      <c r="B5" s="1">
        <v>59</v>
      </c>
      <c r="C5" s="1">
        <v>282</v>
      </c>
      <c r="D5" s="1">
        <v>141</v>
      </c>
      <c r="E5" s="1">
        <v>482</v>
      </c>
    </row>
    <row r="6" spans="1:5" x14ac:dyDescent="0.45">
      <c r="A6" s="1" t="s">
        <v>198</v>
      </c>
      <c r="B6" s="1">
        <v>73</v>
      </c>
      <c r="C6" s="1">
        <v>117</v>
      </c>
      <c r="D6" s="1">
        <v>1459</v>
      </c>
      <c r="E6" s="1">
        <v>1649</v>
      </c>
    </row>
    <row r="7" spans="1:5" x14ac:dyDescent="0.45">
      <c r="A7" s="1" t="s">
        <v>199</v>
      </c>
      <c r="B7" s="1">
        <v>38</v>
      </c>
      <c r="C7" s="1">
        <v>46</v>
      </c>
      <c r="D7" s="1">
        <v>135</v>
      </c>
      <c r="E7" s="1">
        <v>219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zoomScale="160" zoomScaleNormal="160" workbookViewId="0">
      <selection activeCell="E8" sqref="E8"/>
    </sheetView>
  </sheetViews>
  <sheetFormatPr defaultRowHeight="14.25" x14ac:dyDescent="0.45"/>
  <cols>
    <col min="1" max="1" width="15.73046875" bestFit="1" customWidth="1"/>
    <col min="2" max="5" width="16.73046875" bestFit="1" customWidth="1"/>
  </cols>
  <sheetData>
    <row r="1" spans="1:5" x14ac:dyDescent="0.45">
      <c r="A1" s="1" t="s">
        <v>179</v>
      </c>
      <c r="B1" s="1" t="s">
        <v>2</v>
      </c>
      <c r="C1" s="1" t="s">
        <v>3</v>
      </c>
      <c r="D1" s="1" t="s">
        <v>4</v>
      </c>
      <c r="E1" s="1" t="s">
        <v>223</v>
      </c>
    </row>
    <row r="2" spans="1:5" x14ac:dyDescent="0.45">
      <c r="A2" s="1" t="s">
        <v>192</v>
      </c>
      <c r="B2" s="7">
        <v>11.3333333333333</v>
      </c>
      <c r="C2" s="7">
        <v>9.70497073070851</v>
      </c>
      <c r="D2" s="7">
        <v>63</v>
      </c>
      <c r="E2" s="7">
        <v>28.012768021347298</v>
      </c>
    </row>
    <row r="3" spans="1:5" x14ac:dyDescent="0.45">
      <c r="A3" s="1" t="s">
        <v>194</v>
      </c>
      <c r="B3" s="7">
        <v>3.2</v>
      </c>
      <c r="C3" s="7">
        <v>20.3161871094849</v>
      </c>
      <c r="D3" s="7">
        <v>67.8</v>
      </c>
      <c r="E3" s="7">
        <v>30.438729036495001</v>
      </c>
    </row>
    <row r="4" spans="1:5" x14ac:dyDescent="0.45">
      <c r="A4" s="1" t="s">
        <v>196</v>
      </c>
      <c r="B4" s="7">
        <v>5.9583333333333304</v>
      </c>
      <c r="C4" s="7">
        <v>22.802451484360599</v>
      </c>
      <c r="D4" s="7">
        <v>251</v>
      </c>
      <c r="E4" s="7">
        <v>93.253594939231306</v>
      </c>
    </row>
    <row r="5" spans="1:5" x14ac:dyDescent="0.45">
      <c r="A5" s="1" t="s">
        <v>197</v>
      </c>
      <c r="B5" s="7">
        <v>5.9</v>
      </c>
      <c r="C5" s="7">
        <v>56.709347766578503</v>
      </c>
      <c r="D5" s="7">
        <v>36.299999999999997</v>
      </c>
      <c r="E5" s="7">
        <v>32.969782588859502</v>
      </c>
    </row>
    <row r="6" spans="1:5" x14ac:dyDescent="0.45">
      <c r="A6" s="1" t="s">
        <v>198</v>
      </c>
      <c r="B6" s="7">
        <v>6.4814814814814801</v>
      </c>
      <c r="C6" s="7">
        <v>15.628035722114801</v>
      </c>
      <c r="D6" s="7">
        <v>361.625</v>
      </c>
      <c r="E6" s="7">
        <v>127.911505734532</v>
      </c>
    </row>
    <row r="7" spans="1:5" x14ac:dyDescent="0.45">
      <c r="A7" s="1" t="s">
        <v>199</v>
      </c>
      <c r="B7" s="7">
        <v>3.1666666666666701</v>
      </c>
      <c r="C7" s="7">
        <v>10.851517038063299</v>
      </c>
      <c r="D7" s="7">
        <v>28.875</v>
      </c>
      <c r="E7" s="7">
        <v>14.2977279015767</v>
      </c>
    </row>
    <row r="8" spans="1:5" x14ac:dyDescent="0.45">
      <c r="A8" s="1" t="s">
        <v>253</v>
      </c>
      <c r="B8" s="7">
        <v>6.0923202614379104</v>
      </c>
      <c r="C8" s="7">
        <v>22.066606278598101</v>
      </c>
      <c r="D8" s="7">
        <v>147.04838709677401</v>
      </c>
      <c r="E8" s="7">
        <v>58.402437878936702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"/>
  <sheetViews>
    <sheetView workbookViewId="0">
      <selection activeCell="B31" sqref="B31"/>
    </sheetView>
  </sheetViews>
  <sheetFormatPr defaultRowHeight="14.25" x14ac:dyDescent="0.45"/>
  <cols>
    <col min="1" max="1" width="22.73046875" bestFit="1" customWidth="1"/>
    <col min="2" max="2" width="15" bestFit="1" customWidth="1"/>
    <col min="3" max="3" width="21.73046875" bestFit="1" customWidth="1"/>
    <col min="4" max="4" width="15" bestFit="1" customWidth="1"/>
    <col min="5" max="5" width="23.73046875" bestFit="1" customWidth="1"/>
    <col min="6" max="6" width="15.73046875" bestFit="1" customWidth="1"/>
    <col min="7" max="7" width="22.73046875" bestFit="1" customWidth="1"/>
    <col min="8" max="8" width="15" bestFit="1" customWidth="1"/>
  </cols>
  <sheetData>
    <row r="1" spans="1:8" x14ac:dyDescent="0.45">
      <c r="A1" s="1" t="s">
        <v>254</v>
      </c>
      <c r="B1" s="1" t="s">
        <v>223</v>
      </c>
      <c r="C1" s="1" t="s">
        <v>255</v>
      </c>
      <c r="D1" s="1" t="s">
        <v>2</v>
      </c>
      <c r="E1" s="1" t="s">
        <v>256</v>
      </c>
      <c r="F1" s="1" t="s">
        <v>3</v>
      </c>
      <c r="G1" s="1" t="s">
        <v>257</v>
      </c>
      <c r="H1" s="1" t="s">
        <v>4</v>
      </c>
    </row>
    <row r="2" spans="1:8" x14ac:dyDescent="0.45">
      <c r="A2" s="1" t="s">
        <v>17</v>
      </c>
      <c r="B2" s="1">
        <v>946</v>
      </c>
      <c r="C2" s="1" t="s">
        <v>21</v>
      </c>
      <c r="D2" s="1">
        <v>64</v>
      </c>
      <c r="E2" s="1" t="s">
        <v>21</v>
      </c>
      <c r="F2" s="1">
        <v>314</v>
      </c>
      <c r="G2" s="1" t="s">
        <v>17</v>
      </c>
      <c r="H2" s="1">
        <v>901</v>
      </c>
    </row>
    <row r="3" spans="1:8" x14ac:dyDescent="0.45">
      <c r="A3" s="1" t="s">
        <v>71</v>
      </c>
      <c r="B3" s="1">
        <v>792</v>
      </c>
      <c r="C3" s="1" t="s">
        <v>171</v>
      </c>
      <c r="D3" s="1">
        <v>56</v>
      </c>
      <c r="E3" s="1" t="s">
        <v>71</v>
      </c>
      <c r="F3" s="1">
        <v>85</v>
      </c>
      <c r="G3" s="1" t="s">
        <v>71</v>
      </c>
      <c r="H3" s="1">
        <v>701</v>
      </c>
    </row>
    <row r="4" spans="1:8" x14ac:dyDescent="0.45">
      <c r="A4" s="1" t="s">
        <v>15</v>
      </c>
      <c r="B4" s="1">
        <v>667</v>
      </c>
      <c r="C4" s="1" t="s">
        <v>15</v>
      </c>
      <c r="D4" s="1">
        <v>48</v>
      </c>
      <c r="E4" s="1" t="s">
        <v>161</v>
      </c>
      <c r="F4" s="1">
        <v>61</v>
      </c>
      <c r="G4" s="1" t="s">
        <v>15</v>
      </c>
      <c r="H4" s="1">
        <v>602</v>
      </c>
    </row>
    <row r="5" spans="1:8" x14ac:dyDescent="0.45">
      <c r="A5" s="1" t="s">
        <v>21</v>
      </c>
      <c r="B5" s="1">
        <v>534</v>
      </c>
      <c r="C5" s="1" t="s">
        <v>169</v>
      </c>
      <c r="D5" s="1">
        <v>42</v>
      </c>
      <c r="E5" s="1" t="s">
        <v>143</v>
      </c>
      <c r="F5" s="1">
        <v>53</v>
      </c>
      <c r="G5" s="1" t="s">
        <v>111</v>
      </c>
      <c r="H5" s="1">
        <v>308</v>
      </c>
    </row>
    <row r="6" spans="1:8" x14ac:dyDescent="0.45">
      <c r="A6" s="1" t="s">
        <v>111</v>
      </c>
      <c r="B6" s="1">
        <v>355</v>
      </c>
      <c r="C6" s="1" t="s">
        <v>17</v>
      </c>
      <c r="D6" s="1">
        <v>31</v>
      </c>
      <c r="E6" s="1" t="s">
        <v>75</v>
      </c>
      <c r="F6" s="1">
        <v>24</v>
      </c>
      <c r="G6" s="1" t="s">
        <v>21</v>
      </c>
      <c r="H6" s="1">
        <v>156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8"/>
  <sheetViews>
    <sheetView workbookViewId="0"/>
  </sheetViews>
  <sheetFormatPr defaultRowHeight="14.25" x14ac:dyDescent="0.45"/>
  <cols>
    <col min="1" max="1" width="17.73046875" bestFit="1" customWidth="1"/>
    <col min="2" max="2" width="15" bestFit="1" customWidth="1"/>
  </cols>
  <sheetData>
    <row r="1" spans="1:2" x14ac:dyDescent="0.45">
      <c r="A1" s="1" t="s">
        <v>258</v>
      </c>
      <c r="B1" s="1" t="s">
        <v>0</v>
      </c>
    </row>
    <row r="2" spans="1:2" x14ac:dyDescent="0.45">
      <c r="A2" s="1" t="s">
        <v>223</v>
      </c>
      <c r="B2" s="1">
        <v>19</v>
      </c>
    </row>
    <row r="3" spans="1:2" x14ac:dyDescent="0.45">
      <c r="A3" s="1" t="s">
        <v>259</v>
      </c>
      <c r="B3" s="1">
        <v>19</v>
      </c>
    </row>
    <row r="4" spans="1:2" x14ac:dyDescent="0.45">
      <c r="A4" s="1" t="s">
        <v>260</v>
      </c>
      <c r="B4" s="1">
        <v>13</v>
      </c>
    </row>
    <row r="5" spans="1:2" x14ac:dyDescent="0.45">
      <c r="A5" s="1" t="s">
        <v>261</v>
      </c>
      <c r="B5" s="1">
        <v>12</v>
      </c>
    </row>
    <row r="6" spans="1:2" x14ac:dyDescent="0.45">
      <c r="A6" s="1" t="s">
        <v>262</v>
      </c>
      <c r="B6" s="1">
        <v>10</v>
      </c>
    </row>
    <row r="7" spans="1:2" x14ac:dyDescent="0.45">
      <c r="A7" s="1" t="s">
        <v>263</v>
      </c>
      <c r="B7" s="1">
        <v>8</v>
      </c>
    </row>
    <row r="8" spans="1:2" x14ac:dyDescent="0.45">
      <c r="A8" s="1" t="s">
        <v>264</v>
      </c>
      <c r="B8" s="1">
        <v>6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"/>
  <sheetViews>
    <sheetView workbookViewId="0"/>
  </sheetViews>
  <sheetFormatPr defaultRowHeight="14.25" x14ac:dyDescent="0.45"/>
  <cols>
    <col min="1" max="1" width="25.73046875" bestFit="1" customWidth="1"/>
    <col min="2" max="2" width="15" bestFit="1" customWidth="1"/>
    <col min="3" max="3" width="26.73046875" bestFit="1" customWidth="1"/>
    <col min="4" max="4" width="15" bestFit="1" customWidth="1"/>
    <col min="5" max="5" width="23.73046875" bestFit="1" customWidth="1"/>
    <col min="6" max="6" width="15" bestFit="1" customWidth="1"/>
  </cols>
  <sheetData>
    <row r="1" spans="1:6" x14ac:dyDescent="0.45">
      <c r="A1" s="1" t="s">
        <v>2</v>
      </c>
      <c r="B1" s="1" t="s">
        <v>265</v>
      </c>
      <c r="C1" s="1" t="s">
        <v>266</v>
      </c>
      <c r="D1" s="1" t="s">
        <v>267</v>
      </c>
      <c r="E1" s="1" t="s">
        <v>4</v>
      </c>
      <c r="F1" s="1" t="s">
        <v>268</v>
      </c>
    </row>
    <row r="2" spans="1:6" x14ac:dyDescent="0.45">
      <c r="A2" s="1" t="s">
        <v>7</v>
      </c>
      <c r="B2" s="1">
        <v>2</v>
      </c>
      <c r="C2" s="1" t="s">
        <v>19</v>
      </c>
      <c r="D2" s="1">
        <v>2</v>
      </c>
      <c r="E2" s="1" t="s">
        <v>39</v>
      </c>
      <c r="F2" s="1">
        <v>1</v>
      </c>
    </row>
    <row r="3" spans="1:6" x14ac:dyDescent="0.45">
      <c r="A3" s="1" t="s">
        <v>13</v>
      </c>
      <c r="B3" s="1">
        <v>5</v>
      </c>
      <c r="C3" s="1" t="s">
        <v>35</v>
      </c>
      <c r="D3" s="1">
        <v>5</v>
      </c>
      <c r="E3" s="1" t="s">
        <v>41</v>
      </c>
      <c r="F3" s="1">
        <v>1</v>
      </c>
    </row>
    <row r="4" spans="1:6" x14ac:dyDescent="0.45">
      <c r="A4" s="1" t="s">
        <v>67</v>
      </c>
      <c r="B4" s="1">
        <v>1</v>
      </c>
      <c r="C4" s="1" t="s">
        <v>37</v>
      </c>
      <c r="D4" s="1">
        <v>4</v>
      </c>
      <c r="E4" s="1" t="s">
        <v>53</v>
      </c>
      <c r="F4" s="1">
        <v>1</v>
      </c>
    </row>
    <row r="5" spans="1:6" x14ac:dyDescent="0.45">
      <c r="A5" s="1" t="s">
        <v>77</v>
      </c>
      <c r="B5" s="1">
        <v>1</v>
      </c>
      <c r="C5" s="1" t="s">
        <v>61</v>
      </c>
      <c r="D5" s="1">
        <v>1</v>
      </c>
      <c r="E5" s="1" t="s">
        <v>55</v>
      </c>
      <c r="F5" s="1">
        <v>2</v>
      </c>
    </row>
    <row r="6" spans="1:6" x14ac:dyDescent="0.45">
      <c r="A6" s="1" t="s">
        <v>79</v>
      </c>
      <c r="B6" s="1">
        <v>1</v>
      </c>
      <c r="C6" s="1" t="s">
        <v>63</v>
      </c>
      <c r="D6" s="1">
        <v>3</v>
      </c>
      <c r="E6" s="1" t="s">
        <v>57</v>
      </c>
      <c r="F6" s="1">
        <v>2</v>
      </c>
    </row>
    <row r="7" spans="1:6" x14ac:dyDescent="0.45">
      <c r="A7" s="1" t="s">
        <v>81</v>
      </c>
      <c r="B7" s="1">
        <v>3</v>
      </c>
      <c r="C7" s="1" t="s">
        <v>85</v>
      </c>
      <c r="D7" s="1">
        <v>1</v>
      </c>
      <c r="E7" s="1" t="s">
        <v>83</v>
      </c>
      <c r="F7" s="1">
        <v>3</v>
      </c>
    </row>
    <row r="8" spans="1:6" x14ac:dyDescent="0.45">
      <c r="A8" s="1" t="s">
        <v>117</v>
      </c>
      <c r="B8" s="1">
        <v>3</v>
      </c>
      <c r="C8" s="1" t="s">
        <v>103</v>
      </c>
      <c r="D8" s="1">
        <v>1</v>
      </c>
      <c r="E8" s="1" t="s">
        <v>95</v>
      </c>
      <c r="F8" s="1">
        <v>1</v>
      </c>
    </row>
    <row r="9" spans="1:6" x14ac:dyDescent="0.45">
      <c r="A9" s="1" t="s">
        <v>119</v>
      </c>
      <c r="B9" s="1">
        <v>1</v>
      </c>
      <c r="C9" s="1" t="s">
        <v>109</v>
      </c>
      <c r="D9" s="1">
        <v>1</v>
      </c>
      <c r="E9" s="1" t="s">
        <v>97</v>
      </c>
      <c r="F9" s="1">
        <v>1</v>
      </c>
    </row>
    <row r="10" spans="1:6" x14ac:dyDescent="0.45">
      <c r="A10" s="1" t="s">
        <v>125</v>
      </c>
      <c r="B10" s="1">
        <v>1</v>
      </c>
      <c r="C10" s="1" t="s">
        <v>113</v>
      </c>
      <c r="D10" s="1">
        <v>1</v>
      </c>
      <c r="E10" s="1" t="s">
        <v>99</v>
      </c>
      <c r="F10" s="1">
        <v>3</v>
      </c>
    </row>
    <row r="11" spans="1:6" x14ac:dyDescent="0.45">
      <c r="A11" s="1" t="s">
        <v>129</v>
      </c>
      <c r="B11" s="1">
        <v>2</v>
      </c>
      <c r="C11" s="1" t="s">
        <v>121</v>
      </c>
      <c r="D11" s="1">
        <v>2</v>
      </c>
      <c r="E11" s="1" t="s">
        <v>107</v>
      </c>
      <c r="F11" s="1">
        <v>2</v>
      </c>
    </row>
    <row r="12" spans="1:6" x14ac:dyDescent="0.45">
      <c r="A12" s="1" t="s">
        <v>149</v>
      </c>
      <c r="B12" s="1">
        <v>1</v>
      </c>
      <c r="C12" s="1" t="s">
        <v>123</v>
      </c>
      <c r="D12" s="1">
        <v>2</v>
      </c>
      <c r="E12" s="1" t="s">
        <v>133</v>
      </c>
      <c r="F12" s="1">
        <v>2</v>
      </c>
    </row>
    <row r="13" spans="1:6" x14ac:dyDescent="0.45">
      <c r="A13" s="1" t="s">
        <v>165</v>
      </c>
      <c r="B13" s="1">
        <v>1</v>
      </c>
      <c r="C13" s="1" t="s">
        <v>127</v>
      </c>
      <c r="D13" s="1">
        <v>1</v>
      </c>
      <c r="E13" s="1" t="s">
        <v>141</v>
      </c>
      <c r="F13" s="1">
        <v>1</v>
      </c>
    </row>
    <row r="14" spans="1:6" x14ac:dyDescent="0.45">
      <c r="A14" s="1" t="s">
        <v>171</v>
      </c>
      <c r="B14" s="1">
        <v>56</v>
      </c>
      <c r="C14" s="1" t="s">
        <v>139</v>
      </c>
      <c r="D14" s="1">
        <v>1</v>
      </c>
      <c r="E14" s="1" t="s">
        <v>224</v>
      </c>
      <c r="F14" s="1" t="s">
        <v>224</v>
      </c>
    </row>
    <row r="15" spans="1:6" x14ac:dyDescent="0.45">
      <c r="A15" s="1" t="s">
        <v>224</v>
      </c>
      <c r="B15" s="1" t="s">
        <v>224</v>
      </c>
      <c r="C15" s="1" t="s">
        <v>145</v>
      </c>
      <c r="D15" s="1">
        <v>11</v>
      </c>
      <c r="E15" s="1" t="s">
        <v>224</v>
      </c>
      <c r="F15" s="1" t="s">
        <v>224</v>
      </c>
    </row>
    <row r="16" spans="1:6" x14ac:dyDescent="0.45">
      <c r="A16" s="1" t="s">
        <v>224</v>
      </c>
      <c r="B16" s="1" t="s">
        <v>224</v>
      </c>
      <c r="C16" s="1" t="s">
        <v>147</v>
      </c>
      <c r="D16" s="1">
        <v>12</v>
      </c>
      <c r="E16" s="1" t="s">
        <v>224</v>
      </c>
      <c r="F16" s="1" t="s">
        <v>224</v>
      </c>
    </row>
    <row r="17" spans="1:6" x14ac:dyDescent="0.45">
      <c r="A17" s="1" t="s">
        <v>224</v>
      </c>
      <c r="B17" s="1" t="s">
        <v>224</v>
      </c>
      <c r="C17" s="1" t="s">
        <v>157</v>
      </c>
      <c r="D17" s="1">
        <v>3</v>
      </c>
      <c r="E17" s="1" t="s">
        <v>224</v>
      </c>
      <c r="F17" s="1" t="s">
        <v>224</v>
      </c>
    </row>
    <row r="18" spans="1:6" x14ac:dyDescent="0.45">
      <c r="A18" s="1" t="s">
        <v>224</v>
      </c>
      <c r="B18" s="1" t="s">
        <v>224</v>
      </c>
      <c r="C18" s="1" t="s">
        <v>159</v>
      </c>
      <c r="D18" s="1">
        <v>3</v>
      </c>
      <c r="E18" s="1" t="s">
        <v>224</v>
      </c>
      <c r="F18" s="1" t="s">
        <v>224</v>
      </c>
    </row>
    <row r="19" spans="1:6" x14ac:dyDescent="0.45">
      <c r="A19" s="1" t="s">
        <v>224</v>
      </c>
      <c r="B19" s="1" t="s">
        <v>224</v>
      </c>
      <c r="C19" s="1" t="s">
        <v>175</v>
      </c>
      <c r="D19" s="1">
        <v>5</v>
      </c>
      <c r="E19" s="1" t="s">
        <v>224</v>
      </c>
      <c r="F19" s="1" t="s">
        <v>224</v>
      </c>
    </row>
    <row r="20" spans="1:6" x14ac:dyDescent="0.45">
      <c r="A20" s="1" t="s">
        <v>224</v>
      </c>
      <c r="B20" s="1" t="s">
        <v>224</v>
      </c>
      <c r="C20" s="1" t="s">
        <v>177</v>
      </c>
      <c r="D20" s="1">
        <v>2</v>
      </c>
      <c r="E20" s="1" t="s">
        <v>224</v>
      </c>
      <c r="F20" s="1" t="s">
        <v>224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Species List</vt:lpstr>
      <vt:lpstr>Site Summary</vt:lpstr>
      <vt:lpstr>Study Summary</vt:lpstr>
      <vt:lpstr>iNEXT Coverage Projection</vt:lpstr>
      <vt:lpstr>iNEXT Coverage</vt:lpstr>
      <vt:lpstr>iNEXT Estimates</vt:lpstr>
      <vt:lpstr>Gear Study Summary</vt:lpstr>
      <vt:lpstr>Site Catch</vt:lpstr>
      <vt:lpstr>Site CPUE</vt:lpstr>
      <vt:lpstr>Gear Species Abundance</vt:lpstr>
      <vt:lpstr>Gear Combo Richness</vt:lpstr>
      <vt:lpstr>Gear Exclusives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tscho</dc:creator>
  <cp:lastModifiedBy>Scholten, Tanner Eli</cp:lastModifiedBy>
  <dcterms:created xsi:type="dcterms:W3CDTF">2026-03-28T18:47:02Z</dcterms:created>
  <dcterms:modified xsi:type="dcterms:W3CDTF">2026-04-07T19:23:07Z</dcterms:modified>
</cp:coreProperties>
</file>